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62d92355484521" /></Relationships>
</file>

<file path=xl/workbook.xml><?xml version="1.0" encoding="utf-8"?>
<x:workbook xmlns:x="http://schemas.openxmlformats.org/spreadsheetml/2006/main">
  <x:sheets>
    <x:sheet xmlns:r="http://schemas.openxmlformats.org/officeDocument/2006/relationships" name="README" sheetId="1" r:id="R6fa8a18cc95f4e27"/>
    <x:sheet xmlns:r="http://schemas.openxmlformats.org/officeDocument/2006/relationships" name="Assets" sheetId="2" r:id="Rfdd953bbbe9d4c99"/>
    <x:sheet xmlns:r="http://schemas.openxmlformats.org/officeDocument/2006/relationships" name="Vulnerabilities" sheetId="3" r:id="R8ab115586f4b4233"/>
    <x:sheet xmlns:r="http://schemas.openxmlformats.org/officeDocument/2006/relationships" name="DO NOT EDIT ---&gt;" sheetId="4" r:id="R0ae5263924f34a17"/>
    <x:sheet xmlns:r="http://schemas.openxmlformats.org/officeDocument/2006/relationships" name="TVAMatrix" sheetId="5" r:id="Rf0fa387e192b4630"/>
    <x:sheet xmlns:r="http://schemas.openxmlformats.org/officeDocument/2006/relationships" name="AssetTypes" sheetId="6" r:id="R260805be532a46f5"/>
    <x:sheet xmlns:r="http://schemas.openxmlformats.org/officeDocument/2006/relationships" name="RiskValues" sheetId="7" r:id="Reaa24744cf264554"/>
    <x:sheet xmlns:r="http://schemas.openxmlformats.org/officeDocument/2006/relationships" name="InfoSecThreats" sheetId="8" r:id="R4fe4cca77fba45d4"/>
  </x:sheets>
</x:workbook>
</file>

<file path=xl/sharedStrings.xml><?xml version="1.0" encoding="utf-8"?>
<x:sst xmlns:x="http://schemas.openxmlformats.org/spreadsheetml/2006/main">
  <x:si>
    <x:t xml:space="preserve">Instructions</x:t>
  </x:si>
  <x:si>
    <x:t xml:space="preserve">This spreadsheet is step 4 of the simplified risk assessment. However it is modified to make the data entry faster for you. You should do the following:
1. Enter all of your assets in the "Assets" sheet. Select the AssetType from the drop-down list and type in the Asset name.
2. In the "Vulnerabilities" sheet, enter the Threat number, Asset number and Vulnerability number, then type in the description of the vulnerability.
3. Check the coverage of threats for each asset by looking at the summary in the "TVAMatrix" sheet. IMPORTANT: the "TVAMatrix" sheet is auto-generated; you do NOT edit it. But you should use it as a check to make sure you haven't missed any TVAs.
4. Once you are confident all TVAs are in the "Vulnerabilities" sheet, allocate a Likelihood and Impact to each. Select from the drop-down boxes. The Risk is auto-generated.
5. Finally, manually enter Rank for each TVA. </x:t>
  </x:si>
  <x:si>
    <x:t xml:space="preserve">Limits</x:t>
  </x:si>
  <x:si>
    <x:t xml:space="preserve">Some parts of the sheets are formatted for a limited number of values. In most cases, you do not need to worry about the limits - they should be sufficient in simple cases. The limits are:
- Maximum of 100 assets. (This could be increased by expanding the "Assets" sheet down into further rows, and similar for the "TVAMatrix").
- Four (4) vulnerabilities per T/A pair supported in the TVAMatrix. That is, T1V1A1, T1V2A1, T1V3A1, T1V4A1 are allowed and will appear in the TVAMatrix automatically. However while T1V5A1 can be added to the Vulnerabilities sheet, it will not appear in the TVAMatrix. (If a specific T/A pair needed more than 4 vulnerabilities, then rows could be inserted into the TVAMatrix and formula from the above row copied down.)</x:t>
  </x:si>
  <x:si>
    <x:t xml:space="preserve">AssetNum</x:t>
  </x:si>
  <x:si>
    <x:t xml:space="preserve">AssetType</x:t>
  </x:si>
  <x:si>
    <x:t xml:space="preserve">Asset</x:t>
  </x:si>
  <x:si>
    <x:t xml:space="preserve">ThreatNum</x:t>
  </x:si>
  <x:si>
    <x:t xml:space="preserve">Threat</x:t>
  </x:si>
  <x:si>
    <x:t xml:space="preserve">VulnNum</x:t>
  </x:si>
  <x:si>
    <x:t xml:space="preserve">TVA</x:t>
  </x:si>
  <x:si>
    <x:t xml:space="preserve">Vulnerability</x:t>
  </x:si>
  <x:si>
    <x:t xml:space="preserve">Likelihood</x:t>
  </x:si>
  <x:si>
    <x:t xml:space="preserve">Impact</x:t>
  </x:si>
  <x:si>
    <x:t xml:space="preserve">Risk</x:t>
  </x:si>
  <x:si>
    <x:t xml:space="preserve">Rank</x:t>
  </x:si>
  <x:si>
    <x:t xml:space="preserve">Do not edit any of the following sheets:</x:t>
  </x:si>
  <x:si>
    <x:t xml:space="preserve">AssetTypes</x:t>
  </x:si>
  <x:si>
    <x:t xml:space="preserve">RiskValues</x:t>
  </x:si>
  <x:si>
    <x:t xml:space="preserve">InfoSecThreats</x:t>
  </x:si>
  <x:si>
    <x:t xml:space="preserve">TVAMAtrix</x:t>
  </x:si>
  <x:si>
    <x:t xml:space="preserve">(but you should look at the TVAMatrix sheet)</x:t>
  </x:si>
  <x:si>
    <x:t xml:space="preserve">Data</x:t>
  </x:si>
  <x:si>
    <x:t xml:space="preserve">Hardware</x:t>
  </x:si>
  <x:si>
    <x:t xml:space="preserve">Software</x:t>
  </x:si>
  <x:si>
    <x:t xml:space="preserve">Network</x:t>
  </x:si>
  <x:si>
    <x:t xml:space="preserve">People</x:t>
  </x:si>
  <x:si>
    <x:t xml:space="preserve">Processes</x:t>
  </x:si>
  <x:si>
    <x:t xml:space="preserve">Combined</x:t>
  </x:si>
  <x:si>
    <x:t xml:space="preserve">Very High</x:t>
  </x:si>
  <x:si>
    <x:t xml:space="preserve">Very Low</x:t>
  </x:si>
  <x:si>
    <x:t xml:space="preserve">High</x:t>
  </x:si>
  <x:si>
    <x:t xml:space="preserve">Moderate</x:t>
  </x:si>
  <x:si>
    <x:t xml:space="preserve">Low</x:t>
  </x:si>
  <x:si>
    <x:t xml:space="preserve">Description</x:t>
  </x:si>
  <x:si>
    <x:t xml:space="preserve">People errors</x:t>
  </x:si>
  <x:si>
    <x:t xml:space="preserve">E.g. social engineering, phishing &amp; server misconfigurations</x:t>
  </x:si>
  <x:si>
    <x:t xml:space="preserve">Software attacks</x:t>
  </x:si>
  <x:si>
    <x:t xml:space="preserve">Backdoor, DoS, Interceptions (MITM, sniffing, DNS poisoning, session hijacking, spoofing), malware</x:t>
  </x:si>
  <x:si>
    <x:t xml:space="preserve">Information extortion</x:t>
  </x:si>
  <x:si>
    <x:t xml:space="preserve">Ransomware, blackmail &amp; info disclosure</x:t>
  </x:si>
  <x:si>
    <x:t xml:space="preserve">Espionage and trespass</x:t>
  </x:si>
  <x:si>
    <x:t xml:space="preserve">Unauthorised access, e.g. via password attacks</x:t>
  </x:si>
  <x:si>
    <x:t xml:space="preserve">Theft</x:t>
  </x:si>
  <x:si>
    <x:t xml:space="preserve">Illegal confiscation of assets</x:t>
  </x:si>
  <x:si>
    <x:t xml:space="preserve">Technological obsolescence</x:t>
  </x:si>
  <x:si>
    <x:t xml:space="preserve">Outdated tech</x:t>
  </x:si>
  <x:si>
    <x:t xml:space="preserve">Forces of nature</x:t>
  </x:si>
  <x:si>
    <x:t xml:space="preserve">E.g. cyclone, fire, flood &amp; lightening</x:t>
  </x:si>
  <x:si>
    <x:t xml:space="preserve">Technical hardware failures or errors</x:t>
  </x:si>
  <x:si>
    <x:t xml:space="preserve">E.g. leaky capacitors, drive failure</x:t>
  </x:si>
  <x:si>
    <x:t xml:space="preserve">Technical software failures or errors</x:t>
  </x:si>
  <x:si>
    <x:t xml:space="preserve">Bugs, code performance issues &amp; loopholes</x:t>
  </x:si>
  <x:si>
    <x:t xml:space="preserve">Changing quality of services</x:t>
  </x:si>
  <x:si>
    <x:t xml:space="preserve">E.g. blackout, brownout, Spike, NBN outage</x:t>
  </x:si>
  <x:si>
    <x:t xml:space="preserve">Sabotage and vandalism</x:t>
  </x:si>
  <x:si>
    <x:t xml:space="preserve">Destruction of assets</x:t>
  </x:si>
  <x:si>
    <x:t xml:space="preserve">IP compromises</x:t>
  </x:si>
  <x:si>
    <x:t xml:space="preserve">Piracy &amp; copyright infringement</x:t>
  </x:si>
</x:sst>
</file>

<file path=xl/styles.xml><?xml version="1.0" encoding="utf-8"?>
<x:styleSheet xmlns:x="http://schemas.openxmlformats.org/spreadsheetml/2006/main">
  <x:fonts count="6">
    <x:font>
      <x:sz val="11"/>
      <x:color theme="1"/>
      <x:name val="Calibri"/>
    </x:font>
    <x:font>
      <x:b/>
      <x:sz val="11"/>
      <x:color theme="1"/>
      <x:name val="Calibri"/>
    </x:font>
    <x:font>
      <x:b/>
      <x:sz val="10"/>
      <x:color theme="1"/>
      <x:name val="Calibri"/>
    </x:font>
    <x:font>
      <x:b/>
      <x:sz val="8"/>
      <x:color theme="1"/>
      <x:name val="Calibri"/>
    </x:font>
    <x:font>
      <x:sz val="20"/>
      <x:color theme="1"/>
      <x:name val="Calibri"/>
    </x:font>
    <x:font>
      <x:sz val="11"/>
      <x:color theme="0" tint="-0.49998"/>
      <x:name val="Calibri"/>
    </x:font>
  </x:fonts>
  <x:fills count="2">
    <x:fill>
      <x:patternFill patternType="none"/>
    </x:fill>
    <x:fill>
      <x:patternFill patternType="gray125"/>
    </x:fill>
  </x:fills>
  <x:borders count="22">
    <x:border/>
    <x:border>
      <x:left style="thin">
        <x:color indexed="64"/>
      </x:left>
      <x:top style="thin">
        <x:color indexed="64"/>
      </x:top>
    </x:border>
    <x:border>
      <x:top style="thin">
        <x:color indexed="64"/>
      </x:top>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indexed="64"/>
      </x:right>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left style="thin">
        <x:color indexed="64"/>
      </x:left>
      <x:right style="thin">
        <x:color indexed="64"/>
      </x:right>
    </x:border>
    <x:border/>
    <x:border>
      <x:left style="thin">
        <x:color indexed="64"/>
      </x:left>
      <x:top style="thin">
        <x:color indexed="64"/>
      </x:top>
    </x:border>
    <x:border>
      <x:top style="thin">
        <x:color indexed="64"/>
      </x:top>
    </x:border>
    <x:border>
      <x:left style="thin">
        <x:color indexed="64"/>
      </x:left>
      <x:bottom style="thin">
        <x:color indexed="64"/>
      </x:bottom>
    </x:border>
    <x:border>
      <x:bottom style="thin">
        <x:color indexed="64"/>
      </x:bottom>
    </x:border>
    <x:border>
      <x:right style="thin">
        <x:color indexed="64"/>
      </x:right>
      <x:top style="thin">
        <x:color indexed="64"/>
      </x:top>
    </x:border>
    <x:border>
      <x:right style="thin">
        <x:color indexed="64"/>
      </x:right>
      <x:bottom style="thin">
        <x:color indexed="64"/>
      </x:bottom>
    </x:border>
    <x:border>
      <x:right style="thin">
        <x:color indexed="64"/>
      </x:right>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left style="thin">
        <x:color indexed="64"/>
      </x:left>
      <x:right style="thin">
        <x:color indexed="64"/>
      </x:right>
    </x:border>
  </x:borders>
  <x:cellStyleXfs count="1">
    <x:xf numFmtId="0" fontId="0" fillId="0" borderId="0"/>
  </x:cellStyleXfs>
  <x:cellXfs count="68">
    <x:xf numFmtId="0" fontId="0" fillId="0" borderId="0" xfId="0"/>
    <x:xf numFmtId="0" fontId="0" fillId="0" borderId="0" xfId="0" applyAlignment="1">
      <x:alignment horizontal="center"/>
    </x:xf>
    <x:xf numFmtId="0" fontId="2" fillId="0" borderId="0" xfId="0" applyFont="1" applyAlignment="1">
      <x:alignment horizontal="center"/>
    </x:xf>
    <x:xf numFmtId="0" fontId="1" fillId="0" borderId="0" xfId="0" applyFont="1"/>
    <x:xf numFmtId="0" fontId="0" fillId="0" borderId="0" xfId="0" applyAlignment="1">
      <x:alignment vertical="top" wrapText="1"/>
    </x:xf>
    <x:xf numFmtId="0" fontId="1" fillId="0" borderId="0" xfId="0" applyFont="1" applyAlignment="1">
      <x:alignment horizontal="center"/>
    </x:xf>
    <x:xf numFmtId="0" fontId="4" fillId="0" borderId="0" xfId="0" applyFont="1"/>
    <x:xf numFmtId="0" fontId="1" fillId="0" borderId="1" xfId="0" applyFont="1" applyBorder="1" applyAlignment="1">
      <x:alignment horizontal="center"/>
    </x:xf>
    <x:xf numFmtId="0" fontId="1" fillId="0" borderId="2" xfId="0" applyFont="1" applyBorder="1"/>
    <x:xf numFmtId="0" fontId="1" fillId="0" borderId="4" xfId="0" applyFont="1" applyBorder="1" applyAlignment="1">
      <x:alignment horizontal="center"/>
    </x:xf>
    <x:xf numFmtId="0" fontId="1" fillId="0" borderId="5" xfId="0" applyFont="1" applyBorder="1"/>
    <x:xf numFmtId="0" fontId="0" fillId="0" borderId="5" xfId="0" applyBorder="1" applyAlignment="1">
      <x:alignment horizontal="center"/>
    </x:xf>
    <x:xf numFmtId="0" fontId="0" fillId="0" borderId="5" xfId="0" applyBorder="1"/>
    <x:xf numFmtId="0" fontId="1" fillId="0" borderId="3" xfId="0" applyFont="1" applyBorder="1" applyAlignment="1">
      <x:alignment horizontal="center"/>
    </x:xf>
    <x:xf numFmtId="0" fontId="3" fillId="0" borderId="6" xfId="0" applyFont="1" applyBorder="1" applyAlignment="1">
      <x:alignment horizontal="center" vertical="top" wrapText="1"/>
    </x:xf>
    <x:xf numFmtId="0" fontId="1" fillId="0" borderId="6" xfId="0" applyFont="1" applyBorder="1" applyAlignment="1">
      <x:alignment horizontal="center"/>
    </x:xf>
    <x:xf numFmtId="0" fontId="0" fillId="0" borderId="7" xfId="0" applyBorder="1" applyAlignment="1">
      <x:alignment horizontal="center"/>
    </x:xf>
    <x:xf numFmtId="0" fontId="0" fillId="0" borderId="6" xfId="0" applyBorder="1" applyAlignment="1">
      <x:alignment horizontal="center"/>
    </x:xf>
    <x:xf numFmtId="0" fontId="1" fillId="0" borderId="8" xfId="0" applyFont="1" applyBorder="1" applyAlignment="1">
      <x:alignment horizontal="center"/>
    </x:xf>
    <x:xf numFmtId="0" fontId="2" fillId="0" borderId="9" xfId="0" applyFont="1" applyBorder="1" applyAlignment="1">
      <x:alignment horizontal="center" vertical="top" wrapText="1"/>
    </x:xf>
    <x:xf numFmtId="0" fontId="0" fillId="0" borderId="10" xfId="0" applyBorder="1" applyAlignment="1">
      <x:alignment horizontal="center"/>
    </x:xf>
    <x:xf numFmtId="0" fontId="0" fillId="0" borderId="9" xfId="0" applyBorder="1" applyAlignment="1">
      <x:alignment horizontal="center"/>
    </x:xf>
    <x:xf numFmtId="0" fontId="3" fillId="0" borderId="9" xfId="0" applyFont="1" applyBorder="1" applyAlignment="1">
      <x:alignment horizontal="center" vertical="top" wrapText="1"/>
    </x:xf>
    <x:xf numFmtId="0" fontId="0" fillId="0" borderId="0" xfId="0" applyAlignment="1">
      <x:alignment vertical="top"/>
    </x:xf>
    <x:xf numFmtId="0" fontId="0" fillId="0" borderId="0" xfId="0" applyAlignment="1">
      <x:alignment horizontal="left" vertical="top" wrapText="1"/>
    </x:xf>
    <x:xf numFmtId="0" fontId="5" fillId="0" borderId="0" xfId="0" applyFont="1"/>
    <x:xf numFmtId="0" fontId="5" fillId="0" borderId="0" xfId="0" applyFont="1" applyAlignment="1">
      <x:alignment horizontal="center"/>
    </x:xf>
    <x:xf numFmtId="0" fontId="0" fillId="0" borderId="11" xfId="0" applyNumberFormat="1" applyFont="1" applyFill="1" applyBorder="1"/>
    <x:xf numFmtId="0" fontId="0" fillId="0" borderId="11" xfId="0" applyNumberFormat="1" applyFont="1" applyFill="1" applyBorder="1" applyAlignment="1">
      <x:alignment horizontal="center"/>
    </x:xf>
    <x:xf numFmtId="0" fontId="2" fillId="0" borderId="11" xfId="0" applyNumberFormat="1" applyFont="1" applyFill="1" applyBorder="1" applyAlignment="1">
      <x:alignment horizontal="center"/>
    </x:xf>
    <x:xf numFmtId="0" fontId="1" fillId="0" borderId="11" xfId="0" applyNumberFormat="1" applyFont="1" applyFill="1" applyBorder="1"/>
    <x:xf numFmtId="0" fontId="0" fillId="0" borderId="11" xfId="0" applyNumberFormat="1" applyFont="1" applyFill="1" applyBorder="1" applyAlignment="1">
      <x:alignment vertical="top" wrapText="1"/>
    </x:xf>
    <x:xf numFmtId="0" fontId="1" fillId="0" borderId="11" xfId="0" applyNumberFormat="1" applyFont="1" applyFill="1" applyBorder="1" applyAlignment="1">
      <x:alignment horizontal="center"/>
    </x:xf>
    <x:xf numFmtId="0" fontId="4" fillId="0" borderId="11" xfId="0" applyNumberFormat="1" applyFont="1" applyFill="1" applyBorder="1"/>
    <x:xf numFmtId="0" fontId="1" fillId="0" borderId="12" xfId="0" applyNumberFormat="1" applyFont="1" applyFill="1" applyBorder="1" applyAlignment="1">
      <x:alignment horizontal="center"/>
    </x:xf>
    <x:xf numFmtId="0" fontId="1" fillId="0" borderId="13" xfId="0" applyNumberFormat="1" applyFont="1" applyFill="1" applyBorder="1"/>
    <x:xf numFmtId="0" fontId="1" fillId="0" borderId="14" xfId="0" applyNumberFormat="1" applyFont="1" applyFill="1" applyBorder="1" applyAlignment="1">
      <x:alignment horizontal="center"/>
    </x:xf>
    <x:xf numFmtId="0" fontId="1" fillId="0" borderId="15" xfId="0" applyNumberFormat="1" applyFont="1" applyFill="1" applyBorder="1"/>
    <x:xf numFmtId="0" fontId="0" fillId="0" borderId="15" xfId="0" applyNumberFormat="1" applyFont="1" applyFill="1" applyBorder="1" applyAlignment="1">
      <x:alignment horizontal="center"/>
    </x:xf>
    <x:xf numFmtId="0" fontId="0" fillId="0" borderId="15" xfId="0" applyNumberFormat="1" applyFont="1" applyFill="1" applyBorder="1"/>
    <x:xf numFmtId="0" fontId="1" fillId="0" borderId="16" xfId="0" applyNumberFormat="1" applyFont="1" applyFill="1" applyBorder="1" applyAlignment="1">
      <x:alignment horizontal="center"/>
    </x:xf>
    <x:xf numFmtId="0" fontId="3" fillId="0" borderId="17" xfId="0" applyNumberFormat="1" applyFont="1" applyFill="1" applyBorder="1" applyAlignment="1">
      <x:alignment horizontal="center" vertical="top" wrapText="1"/>
    </x:xf>
    <x:xf numFmtId="0" fontId="1" fillId="0" borderId="17" xfId="0" applyNumberFormat="1" applyFont="1" applyFill="1" applyBorder="1" applyAlignment="1">
      <x:alignment horizontal="center"/>
    </x:xf>
    <x:xf numFmtId="0" fontId="0" fillId="0" borderId="18" xfId="0" applyNumberFormat="1" applyFont="1" applyFill="1" applyBorder="1" applyAlignment="1">
      <x:alignment horizontal="center"/>
    </x:xf>
    <x:xf numFmtId="0" fontId="0" fillId="0" borderId="17" xfId="0" applyNumberFormat="1" applyFont="1" applyFill="1" applyBorder="1" applyAlignment="1">
      <x:alignment horizontal="center"/>
    </x:xf>
    <x:xf numFmtId="0" fontId="1" fillId="0" borderId="19" xfId="0" applyNumberFormat="1" applyFont="1" applyFill="1" applyBorder="1" applyAlignment="1">
      <x:alignment horizontal="center"/>
    </x:xf>
    <x:xf numFmtId="0" fontId="2" fillId="0" borderId="20" xfId="0" applyNumberFormat="1" applyFont="1" applyFill="1" applyBorder="1" applyAlignment="1">
      <x:alignment horizontal="center" vertical="top" wrapText="1"/>
    </x:xf>
    <x:xf numFmtId="0" fontId="0" fillId="0" borderId="21" xfId="0" applyNumberFormat="1" applyFont="1" applyFill="1" applyBorder="1" applyAlignment="1">
      <x:alignment horizontal="center"/>
    </x:xf>
    <x:xf numFmtId="0" fontId="0" fillId="0" borderId="20" xfId="0" applyNumberFormat="1" applyFont="1" applyFill="1" applyBorder="1" applyAlignment="1">
      <x:alignment horizontal="center"/>
    </x:xf>
    <x:xf numFmtId="0" fontId="3" fillId="0" borderId="20" xfId="0" applyNumberFormat="1" applyFont="1" applyFill="1" applyBorder="1" applyAlignment="1">
      <x:alignment horizontal="center" vertical="top" wrapText="1"/>
    </x:xf>
    <x:xf numFmtId="0" fontId="0" fillId="0" borderId="11" xfId="0" applyNumberFormat="1" applyFont="1" applyFill="1" applyBorder="1" applyAlignment="1">
      <x:alignment vertical="top"/>
    </x:xf>
    <x:xf numFmtId="0" fontId="0" fillId="0" borderId="11" xfId="0" applyNumberFormat="1" applyFont="1" applyFill="1" applyBorder="1" applyAlignment="1">
      <x:alignment horizontal="left" vertical="top" wrapText="1"/>
    </x:xf>
    <x:xf numFmtId="0" fontId="5" fillId="0" borderId="11" xfId="0" applyNumberFormat="1" applyFont="1" applyFill="1" applyBorder="1"/>
    <x:xf numFmtId="0" fontId="5" fillId="0" borderId="11" xfId="0" applyNumberFormat="1" applyFont="1" applyFill="1" applyBorder="1" applyAlignment="1">
      <x:alignment horizontal="center"/>
    </x:xf>
    <x:xf numFmtId="0" fontId="2" fillId="0" borderId="0" xfId="0" applyNumberFormat="1" applyFont="1" applyFill="1" applyBorder="1" applyAlignment="1">
      <x:alignment horizontal="center"/>
    </x:xf>
    <x:xf numFmtId="0" fontId="1" fillId="0" borderId="0" xfId="0" applyNumberFormat="1" applyFont="1" applyFill="1" applyBorder="1"/>
    <x:xf numFmtId="0" fontId="2" fillId="0" borderId="0" xfId="0" applyNumberFormat="1" applyFont="1" applyFill="1" applyBorder="1" applyAlignment="1">
      <x:alignment horizontal="center" wrapText="1"/>
    </x:xf>
    <x:xf numFmtId="0" fontId="1" fillId="0" borderId="0" xfId="0" applyNumberFormat="1" applyFont="1" applyFill="1" applyBorder="1" applyAlignment="1">
      <x:alignment wrapText="1"/>
    </x:xf>
    <x:xf numFmtId="0" fontId="5" fillId="0"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2" fillId="0" borderId="11" xfId="0" applyNumberFormat="1" applyFont="1" applyFill="1" applyBorder="1" applyAlignment="1">
      <x:alignment horizontal="center" wrapText="1"/>
    </x:xf>
    <x:xf numFmtId="0" fontId="1" fillId="0" borderId="11" xfId="0" applyNumberFormat="1" applyFont="1" applyFill="1" applyBorder="1" applyAlignment="1">
      <x:alignment wrapText="1"/>
    </x:xf>
    <x:xf numFmtId="0" fontId="5" fillId="0" borderId="11" xfId="0" applyNumberFormat="1" applyFont="1" applyFill="1" applyBorder="1" applyAlignment="1">
      <x:alignment horizontal="center" wrapText="1"/>
    </x:xf>
    <x:xf numFmtId="0" fontId="0" fillId="0" borderId="11" xfId="0" applyNumberFormat="1" applyFont="1" applyFill="1" applyBorder="1" applyAlignment="1">
      <x:alignment wrapText="1"/>
    </x:xf>
    <x:xf numFmtId="0" fontId="1" fillId="0" borderId="0" xfId="0" applyNumberFormat="1" applyFont="1" applyFill="1" applyBorder="1" applyAlignment="1">
      <x:alignment horizontal="center"/>
    </x:xf>
    <x:xf numFmtId="0" fontId="1"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wrapText="1"/>
    </x:xf>
    <x:xf numFmtId="0" fontId="5"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766fa034354459" /><Relationship Type="http://schemas.openxmlformats.org/officeDocument/2006/relationships/theme" Target="/xl/theme/theme1.xml" Id="R56d05d0cb5f84770" /><Relationship Type="http://schemas.openxmlformats.org/officeDocument/2006/relationships/sharedStrings" Target="/xl/sharedStrings.xml" Id="R753433573a9944d3" /><Relationship Type="http://schemas.openxmlformats.org/officeDocument/2006/relationships/worksheet" Target="/xl/worksheets/sheet1.xml" Id="R6fa8a18cc95f4e27" /><Relationship Type="http://schemas.openxmlformats.org/officeDocument/2006/relationships/worksheet" Target="/xl/worksheets/sheet2.xml" Id="Rfdd953bbbe9d4c99" /><Relationship Type="http://schemas.openxmlformats.org/officeDocument/2006/relationships/worksheet" Target="/xl/worksheets/sheet3.xml" Id="R8ab115586f4b4233" /><Relationship Type="http://schemas.openxmlformats.org/officeDocument/2006/relationships/worksheet" Target="/xl/worksheets/sheet4.xml" Id="R0ae5263924f34a17" /><Relationship Type="http://schemas.openxmlformats.org/officeDocument/2006/relationships/worksheet" Target="/xl/worksheets/sheet5.xml" Id="Rf0fa387e192b4630" /><Relationship Type="http://schemas.openxmlformats.org/officeDocument/2006/relationships/worksheet" Target="/xl/worksheets/sheet6.xml" Id="R260805be532a46f5" /><Relationship Type="http://schemas.openxmlformats.org/officeDocument/2006/relationships/worksheet" Target="/xl/worksheets/sheet7.xml" Id="Reaa24744cf264554" /><Relationship Type="http://schemas.openxmlformats.org/officeDocument/2006/relationships/worksheet" Target="/xl/worksheets/sheet8.xml" Id="R4fe4cca77fba45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7109375" customWidth="1"/>
    <x:col min="2" max="2" width="78" customWidth="1"/>
  </x:cols>
  <x:sheetData>
    <x:row r="1" ht="26.25">
      <x:c r="A1" s="6" t="s">
        <x:v>0</x:v>
      </x:c>
    </x:row>
    <x:row r="2" ht="294" customHeight="1">
      <x:c r="B2" s="4" t="s">
        <x:v>1</x:v>
      </x:c>
    </x:row>
    <x:row r="5" ht="243" customHeight="1">
      <x:c r="A5" s="23" t="s">
        <x:v>2</x:v>
      </x:c>
      <x:c r="B5" s="24" t="s">
        <x:v>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style="26" hidden="0" customWidth="1"/>
    <x:col min="2" max="2" width="16" hidden="0" customWidth="1"/>
    <x:col min="3" max="3" width="42" hidden="0" customWidth="1"/>
  </x:cols>
  <x:sheetData>
    <x:row r="1">
      <x:c r="A1" s="56" t="s">
        <x:v>4</x:v>
      </x:c>
      <x:c r="B1" s="57" t="s">
        <x:v>5</x:v>
      </x:c>
      <x:c r="C1" s="57" t="s">
        <x:v>6</x:v>
      </x:c>
    </x:row>
    <x:row r="2">
      <x:c r="A2" s="58">
        <x:v>1</x:v>
      </x:c>
      <x:c r="B2" s="59" t="str">
        <x:v>Data</x:v>
      </x:c>
      <x:c r="C2" s="59" t="str">
        <x:v>Customer accounting and tax records</x:v>
      </x:c>
    </x:row>
    <x:row r="3">
      <x:c r="A3" s="58">
        <x:v>2</x:v>
      </x:c>
      <x:c r="B3" s="59" t="str">
        <x:v>Data</x:v>
      </x:c>
      <x:c r="C3" s="59" t="str">
        <x:v>Customer contact information</x:v>
      </x:c>
    </x:row>
    <x:row r="4">
      <x:c r="A4" s="58">
        <x:v>3</x:v>
      </x:c>
      <x:c r="B4" s="59" t="str">
        <x:v>Data</x:v>
      </x:c>
      <x:c r="C4" s="59" t="str">
        <x:v>Staff login credentials and SSH private keys</x:v>
      </x:c>
    </x:row>
    <x:row r="5">
      <x:c r="A5" s="58">
        <x:v>4</x:v>
      </x:c>
      <x:c r="B5" s="59" t="str">
        <x:v>Data</x:v>
      </x:c>
      <x:c r="C5" s="59" t="str">
        <x:v>OpenWRT firewall and router configuration</x:v>
      </x:c>
    </x:row>
    <x:row r="6">
      <x:c r="A6" s="58">
        <x:v>5</x:v>
      </x:c>
      <x:c r="B6" s="59" t="str">
        <x:v>Data</x:v>
      </x:c>
      <x:c r="C6" s="59" t="str">
        <x:v>Business website content and service information</x:v>
      </x:c>
    </x:row>
    <x:row r="7">
      <x:c r="A7" s="58">
        <x:v>6</x:v>
      </x:c>
      <x:c r="B7" s="59" t="str">
        <x:v>Hardware</x:v>
      </x:c>
      <x:c r="C7" s="59" t="str">
        <x:v>OpenWRT router/firewall VM</x:v>
      </x:c>
    </x:row>
    <x:row r="8">
      <x:c r="A8" s="58">
        <x:v>7</x:v>
      </x:c>
      <x:c r="B8" s="59" t="str">
        <x:v>Hardware</x:v>
      </x:c>
      <x:c r="C8" s="59" t="str">
        <x:v>Windows staff workstations</x:v>
      </x:c>
    </x:row>
    <x:row r="9">
      <x:c r="A9" s="58">
        <x:v>8</x:v>
      </x:c>
      <x:c r="B9" s="59" t="str">
        <x:v>Hardware</x:v>
      </x:c>
      <x:c r="C9" s="59" t="str">
        <x:v>External backup drive / backup media</x:v>
      </x:c>
    </x:row>
    <x:row r="10">
      <x:c r="A10" s="58">
        <x:v>9</x:v>
      </x:c>
      <x:c r="B10" s="59" t="str">
        <x:v>Software</x:v>
      </x:c>
      <x:c r="C10" s="59" t="str">
        <x:v>uhttpd web server service</x:v>
      </x:c>
    </x:row>
    <x:row r="11">
      <x:c r="A11" s="58">
        <x:v>10</x:v>
      </x:c>
      <x:c r="B11" s="59" t="str">
        <x:v>Software</x:v>
      </x:c>
      <x:c r="C11" s="59" t="str">
        <x:v>Dropbear SSH service</x:v>
      </x:c>
    </x:row>
    <x:row r="12">
      <x:c r="A12" s="58">
        <x:v>11</x:v>
      </x:c>
      <x:c r="B12" s="59" t="str">
        <x:v>Network</x:v>
      </x:c>
      <x:c r="C12" s="59" t="str">
        <x:v>Management network br-mng 192.168.56.0/24</x:v>
      </x:c>
    </x:row>
    <x:row r="13">
      <x:c r="A13" s="58">
        <x:v>12</x:v>
      </x:c>
      <x:c r="B13" s="59" t="str">
        <x:v>Network</x:v>
      </x:c>
      <x:c r="C13" s="59" t="str">
        <x:v>Production DMZ / web server network</x:v>
      </x:c>
    </x:row>
    <x:row r="14">
      <x:c r="A14" s="58">
        <x:v>13</x:v>
      </x:c>
      <x:c r="B14" s="59" t="str">
        <x:v>People</x:v>
      </x:c>
      <x:c r="C14" s="59" t="str">
        <x:v>Administrative and accounting staff</x:v>
      </x:c>
    </x:row>
    <x:row r="15">
      <x:c r="A15" s="58">
        <x:v>14</x:v>
      </x:c>
      <x:c r="B15" s="59" t="str">
        <x:v>Processes</x:v>
      </x:c>
      <x:c r="C15" s="59" t="str">
        <x:v>Backup and incident response process</x:v>
      </x:c>
    </x:row>
    <x:row r="16">
      <x:c r="A16" s="26">
        <x:v>15</x:v>
      </x:c>
      <x:c r="B16"/>
      <x:c r="C16"/>
    </x:row>
    <x:row r="17">
      <x:c r="A17" s="26">
        <x:v>16</x:v>
      </x:c>
      <x:c r="B17"/>
      <x:c r="C17"/>
    </x:row>
    <x:row r="18">
      <x:c r="A18" s="26">
        <x:v>17</x:v>
      </x:c>
      <x:c r="B18"/>
      <x:c r="C18"/>
    </x:row>
    <x:row r="19">
      <x:c r="A19" s="26">
        <x:v>18</x:v>
      </x:c>
      <x:c r="B19"/>
      <x:c r="C19"/>
    </x:row>
    <x:row r="20">
      <x:c r="A20" s="26">
        <x:v>19</x:v>
      </x:c>
      <x:c r="B20"/>
      <x:c r="C20"/>
    </x:row>
    <x:row r="21">
      <x:c r="A21" s="26">
        <x:v>20</x:v>
      </x:c>
      <x:c r="B21"/>
      <x:c r="C21"/>
    </x:row>
    <x:row r="22">
      <x:c r="A22" s="26">
        <x:v>21</x:v>
      </x:c>
      <x:c r="B22"/>
      <x:c r="C22"/>
    </x:row>
    <x:row r="23">
      <x:c r="A23" s="26">
        <x:v>22</x:v>
      </x:c>
      <x:c r="B23"/>
      <x:c r="C23"/>
    </x:row>
    <x:row r="24">
      <x:c r="A24" s="26">
        <x:v>23</x:v>
      </x:c>
      <x:c r="B24"/>
      <x:c r="C24"/>
    </x:row>
    <x:row r="25">
      <x:c r="A25" s="26">
        <x:v>24</x:v>
      </x:c>
      <x:c r="B25"/>
      <x:c r="C25"/>
    </x:row>
    <x:row r="26">
      <x:c r="A26" s="26">
        <x:v>25</x:v>
      </x:c>
      <x:c r="B26"/>
      <x:c r="C26"/>
    </x:row>
    <x:row r="27">
      <x:c r="A27" s="26">
        <x:v>26</x:v>
      </x:c>
      <x:c r="B27"/>
      <x:c r="C27"/>
    </x:row>
    <x:row r="28">
      <x:c r="A28" s="26">
        <x:v>27</x:v>
      </x:c>
      <x:c r="B28"/>
      <x:c r="C28"/>
    </x:row>
    <x:row r="29">
      <x:c r="A29" s="26">
        <x:v>28</x:v>
      </x:c>
      <x:c r="B29"/>
      <x:c r="C29"/>
    </x:row>
    <x:row r="30">
      <x:c r="A30" s="26">
        <x:v>29</x:v>
      </x:c>
      <x:c r="B30"/>
      <x:c r="C30"/>
    </x:row>
    <x:row r="31">
      <x:c r="A31" s="26">
        <x:v>30</x:v>
      </x:c>
      <x:c r="B31"/>
      <x:c r="C31"/>
    </x:row>
    <x:row r="32">
      <x:c r="A32" s="26">
        <x:v>31</x:v>
      </x:c>
      <x:c r="B32"/>
      <x:c r="C32"/>
    </x:row>
    <x:row r="33">
      <x:c r="A33" s="26">
        <x:v>32</x:v>
      </x:c>
      <x:c r="B33"/>
      <x:c r="C33"/>
    </x:row>
    <x:row r="34">
      <x:c r="A34" s="26">
        <x:v>33</x:v>
      </x:c>
      <x:c r="B34"/>
      <x:c r="C34"/>
    </x:row>
    <x:row r="35">
      <x:c r="A35" s="26">
        <x:v>34</x:v>
      </x:c>
      <x:c r="B35"/>
      <x:c r="C35"/>
    </x:row>
    <x:row r="36">
      <x:c r="A36" s="26">
        <x:v>35</x:v>
      </x:c>
      <x:c r="B36"/>
      <x:c r="C36"/>
    </x:row>
    <x:row r="37">
      <x:c r="A37" s="26">
        <x:v>36</x:v>
      </x:c>
      <x:c r="B37"/>
      <x:c r="C37"/>
    </x:row>
    <x:row r="38">
      <x:c r="A38" s="26">
        <x:v>37</x:v>
      </x:c>
      <x:c r="B38"/>
      <x:c r="C38"/>
    </x:row>
    <x:row r="39">
      <x:c r="A39" s="26">
        <x:v>38</x:v>
      </x:c>
      <x:c r="B39"/>
      <x:c r="C39"/>
    </x:row>
    <x:row r="40">
      <x:c r="A40" s="26">
        <x:v>39</x:v>
      </x:c>
      <x:c r="B40"/>
      <x:c r="C40"/>
    </x:row>
    <x:row r="41">
      <x:c r="A41" s="26">
        <x:v>40</x:v>
      </x:c>
      <x:c r="B41"/>
      <x:c r="C41"/>
    </x:row>
    <x:row r="42">
      <x:c r="A42" s="26">
        <x:v>41</x:v>
      </x:c>
      <x:c r="B42"/>
      <x:c r="C42"/>
    </x:row>
    <x:row r="43">
      <x:c r="A43" s="26">
        <x:v>42</x:v>
      </x:c>
      <x:c r="B43"/>
      <x:c r="C43"/>
    </x:row>
    <x:row r="44">
      <x:c r="A44" s="26">
        <x:v>43</x:v>
      </x:c>
      <x:c r="B44"/>
      <x:c r="C44"/>
    </x:row>
    <x:row r="45">
      <x:c r="A45" s="26">
        <x:v>44</x:v>
      </x:c>
      <x:c r="B45"/>
      <x:c r="C45"/>
    </x:row>
    <x:row r="46">
      <x:c r="A46" s="26">
        <x:v>45</x:v>
      </x:c>
      <x:c r="B46"/>
      <x:c r="C46"/>
    </x:row>
    <x:row r="47">
      <x:c r="A47" s="26">
        <x:v>46</x:v>
      </x:c>
      <x:c r="B47"/>
      <x:c r="C47"/>
    </x:row>
    <x:row r="48">
      <x:c r="A48" s="26">
        <x:v>47</x:v>
      </x:c>
      <x:c r="B48"/>
      <x:c r="C48"/>
    </x:row>
    <x:row r="49">
      <x:c r="A49" s="26">
        <x:v>48</x:v>
      </x:c>
      <x:c r="B49"/>
      <x:c r="C49"/>
    </x:row>
    <x:row r="50">
      <x:c r="A50" s="26">
        <x:v>49</x:v>
      </x:c>
      <x:c r="B50"/>
      <x:c r="C50"/>
    </x:row>
    <x:row r="51">
      <x:c r="A51" s="26">
        <x:v>50</x:v>
      </x:c>
      <x:c r="B51"/>
      <x:c r="C51"/>
    </x:row>
    <x:row r="52">
      <x:c r="A52" s="26">
        <x:v>51</x:v>
      </x:c>
      <x:c r="B52"/>
      <x:c r="C52"/>
    </x:row>
    <x:row r="53">
      <x:c r="A53" s="26">
        <x:v>52</x:v>
      </x:c>
      <x:c r="B53"/>
      <x:c r="C53"/>
    </x:row>
    <x:row r="54">
      <x:c r="A54" s="26">
        <x:v>53</x:v>
      </x:c>
      <x:c r="B54"/>
      <x:c r="C54"/>
    </x:row>
    <x:row r="55">
      <x:c r="A55" s="26">
        <x:v>54</x:v>
      </x:c>
      <x:c r="B55"/>
      <x:c r="C55"/>
    </x:row>
    <x:row r="56">
      <x:c r="A56" s="26">
        <x:v>55</x:v>
      </x:c>
      <x:c r="B56"/>
      <x:c r="C56"/>
    </x:row>
    <x:row r="57">
      <x:c r="A57" s="26">
        <x:v>56</x:v>
      </x:c>
      <x:c r="B57"/>
      <x:c r="C57"/>
    </x:row>
    <x:row r="58">
      <x:c r="A58" s="26">
        <x:v>57</x:v>
      </x:c>
      <x:c r="B58"/>
      <x:c r="C58"/>
    </x:row>
    <x:row r="59">
      <x:c r="A59" s="26">
        <x:v>58</x:v>
      </x:c>
      <x:c r="B59"/>
      <x:c r="C59"/>
    </x:row>
    <x:row r="60">
      <x:c r="A60" s="26">
        <x:v>59</x:v>
      </x:c>
      <x:c r="B60"/>
      <x:c r="C60"/>
    </x:row>
    <x:row r="61">
      <x:c r="A61" s="26">
        <x:v>60</x:v>
      </x:c>
      <x:c r="B61"/>
      <x:c r="C61"/>
    </x:row>
    <x:row r="62">
      <x:c r="A62" s="26">
        <x:v>61</x:v>
      </x:c>
      <x:c r="B62"/>
      <x:c r="C62"/>
    </x:row>
    <x:row r="63">
      <x:c r="A63" s="26">
        <x:v>62</x:v>
      </x:c>
      <x:c r="B63"/>
      <x:c r="C63"/>
    </x:row>
    <x:row r="64">
      <x:c r="A64" s="26">
        <x:v>63</x:v>
      </x:c>
      <x:c r="B64"/>
      <x:c r="C64"/>
    </x:row>
    <x:row r="65">
      <x:c r="A65" s="26">
        <x:v>64</x:v>
      </x:c>
      <x:c r="B65"/>
      <x:c r="C65"/>
    </x:row>
    <x:row r="66">
      <x:c r="A66" s="26">
        <x:v>65</x:v>
      </x:c>
      <x:c r="B66"/>
      <x:c r="C66"/>
    </x:row>
    <x:row r="67">
      <x:c r="A67" s="26">
        <x:v>66</x:v>
      </x:c>
      <x:c r="B67"/>
      <x:c r="C67"/>
    </x:row>
    <x:row r="68">
      <x:c r="A68" s="26">
        <x:v>67</x:v>
      </x:c>
      <x:c r="B68"/>
      <x:c r="C68"/>
    </x:row>
    <x:row r="69">
      <x:c r="A69" s="26">
        <x:v>68</x:v>
      </x:c>
      <x:c r="B69"/>
      <x:c r="C69"/>
    </x:row>
    <x:row r="70">
      <x:c r="A70" s="26">
        <x:v>69</x:v>
      </x:c>
      <x:c r="B70"/>
      <x:c r="C70"/>
    </x:row>
    <x:row r="71">
      <x:c r="A71" s="26">
        <x:v>70</x:v>
      </x:c>
      <x:c r="B71"/>
      <x:c r="C71"/>
    </x:row>
    <x:row r="72">
      <x:c r="A72" s="26">
        <x:v>71</x:v>
      </x:c>
      <x:c r="B72"/>
      <x:c r="C72"/>
    </x:row>
    <x:row r="73">
      <x:c r="A73" s="26">
        <x:v>72</x:v>
      </x:c>
      <x:c r="B73"/>
      <x:c r="C73"/>
    </x:row>
    <x:row r="74">
      <x:c r="A74" s="26">
        <x:v>73</x:v>
      </x:c>
      <x:c r="B74"/>
      <x:c r="C74"/>
    </x:row>
    <x:row r="75">
      <x:c r="A75" s="26">
        <x:v>74</x:v>
      </x:c>
      <x:c r="B75"/>
      <x:c r="C75"/>
    </x:row>
    <x:row r="76">
      <x:c r="A76" s="26">
        <x:v>75</x:v>
      </x:c>
      <x:c r="B76"/>
      <x:c r="C76"/>
    </x:row>
    <x:row r="77">
      <x:c r="A77" s="26">
        <x:v>76</x:v>
      </x:c>
      <x:c r="B77"/>
      <x:c r="C77"/>
    </x:row>
    <x:row r="78">
      <x:c r="A78" s="26">
        <x:v>77</x:v>
      </x:c>
      <x:c r="B78"/>
      <x:c r="C78"/>
    </x:row>
    <x:row r="79">
      <x:c r="A79" s="26">
        <x:v>78</x:v>
      </x:c>
      <x:c r="B79"/>
      <x:c r="C79"/>
    </x:row>
    <x:row r="80">
      <x:c r="A80" s="26">
        <x:v>79</x:v>
      </x:c>
      <x:c r="B80"/>
      <x:c r="C80"/>
    </x:row>
    <x:row r="81">
      <x:c r="A81" s="26">
        <x:v>80</x:v>
      </x:c>
      <x:c r="B81"/>
      <x:c r="C81"/>
    </x:row>
    <x:row r="82">
      <x:c r="A82" s="26">
        <x:v>81</x:v>
      </x:c>
      <x:c r="B82"/>
      <x:c r="C82"/>
    </x:row>
    <x:row r="83">
      <x:c r="A83" s="26">
        <x:v>82</x:v>
      </x:c>
      <x:c r="B83"/>
      <x:c r="C83"/>
    </x:row>
    <x:row r="84">
      <x:c r="A84" s="26">
        <x:v>83</x:v>
      </x:c>
      <x:c r="B84"/>
      <x:c r="C84"/>
    </x:row>
    <x:row r="85">
      <x:c r="A85" s="26">
        <x:v>84</x:v>
      </x:c>
      <x:c r="B85"/>
      <x:c r="C85"/>
    </x:row>
    <x:row r="86">
      <x:c r="A86" s="26">
        <x:v>85</x:v>
      </x:c>
      <x:c r="B86"/>
      <x:c r="C86"/>
    </x:row>
    <x:row r="87">
      <x:c r="A87" s="26">
        <x:v>86</x:v>
      </x:c>
      <x:c r="B87"/>
      <x:c r="C87"/>
    </x:row>
    <x:row r="88">
      <x:c r="A88" s="26">
        <x:v>87</x:v>
      </x:c>
      <x:c r="B88"/>
      <x:c r="C88"/>
    </x:row>
    <x:row r="89">
      <x:c r="A89" s="26">
        <x:v>88</x:v>
      </x:c>
      <x:c r="B89"/>
      <x:c r="C89"/>
    </x:row>
    <x:row r="90">
      <x:c r="A90" s="26">
        <x:v>89</x:v>
      </x:c>
      <x:c r="B90"/>
      <x:c r="C90"/>
    </x:row>
    <x:row r="91">
      <x:c r="A91" s="26">
        <x:v>90</x:v>
      </x:c>
      <x:c r="B91"/>
      <x:c r="C91"/>
    </x:row>
    <x:row r="92">
      <x:c r="A92" s="26">
        <x:v>91</x:v>
      </x:c>
      <x:c r="B92"/>
      <x:c r="C92"/>
    </x:row>
    <x:row r="93">
      <x:c r="A93" s="26">
        <x:v>92</x:v>
      </x:c>
      <x:c r="B93"/>
      <x:c r="C93"/>
    </x:row>
    <x:row r="94">
      <x:c r="A94" s="26">
        <x:v>93</x:v>
      </x:c>
      <x:c r="B94"/>
      <x:c r="C94"/>
    </x:row>
    <x:row r="95">
      <x:c r="A95" s="26">
        <x:v>94</x:v>
      </x:c>
      <x:c r="B95"/>
      <x:c r="C95"/>
    </x:row>
    <x:row r="96">
      <x:c r="A96" s="26">
        <x:v>95</x:v>
      </x:c>
      <x:c r="B96"/>
      <x:c r="C96"/>
    </x:row>
    <x:row r="97">
      <x:c r="A97" s="26">
        <x:v>96</x:v>
      </x:c>
      <x:c r="B97"/>
      <x:c r="C97"/>
    </x:row>
    <x:row r="98">
      <x:c r="A98" s="26">
        <x:v>97</x:v>
      </x:c>
      <x:c r="B98"/>
      <x:c r="C98"/>
    </x:row>
    <x:row r="99">
      <x:c r="A99" s="26">
        <x:v>98</x:v>
      </x:c>
      <x:c r="B99"/>
      <x:c r="C99"/>
    </x:row>
    <x:row r="100">
      <x:c r="A100" s="26">
        <x:v>99</x:v>
      </x:c>
      <x:c r="B100"/>
      <x:c r="C100"/>
    </x:row>
    <x:row r="101">
      <x:c r="A101" s="26">
        <x:v>100</x:v>
      </x:c>
      <x:c r="B101"/>
      <x:c r="C101"/>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style="1" hidden="0" customWidth="1"/>
    <x:col min="2" max="2" width="24" style="25" hidden="0" customWidth="1"/>
    <x:col min="3" max="3" width="10" style="1" hidden="0" customWidth="1"/>
    <x:col min="4" max="4" width="14" style="25" hidden="0" customWidth="1"/>
    <x:col min="5" max="5" width="32" style="25" hidden="0" customWidth="1"/>
    <x:col min="6" max="6" width="10" style="1" hidden="0" customWidth="1"/>
    <x:col min="7" max="7" width="13" style="26" hidden="0" customWidth="1"/>
    <x:col min="8" max="8" width="58" hidden="0" customWidth="1"/>
    <x:col min="9" max="10" width="10.7109375" style="1" customWidth="1"/>
    <x:col min="11" max="11" width="12" style="26" hidden="0" customWidth="1"/>
    <x:col min="9" max="9" width="14" hidden="0" customWidth="1"/>
    <x:col min="10" max="10" width="14" hidden="0" customWidth="1"/>
    <x:col min="12" max="12" width="8" hidden="0" customWidth="1"/>
  </x:cols>
  <x:sheetData>
    <x:row r="1">
      <x:c r="A1" s="56" t="s">
        <x:v>7</x:v>
      </x:c>
      <x:c r="B1" s="57" t="s">
        <x:v>8</x:v>
      </x:c>
      <x:c r="C1" s="56" t="s">
        <x:v>4</x:v>
      </x:c>
      <x:c r="D1" s="57" t="s">
        <x:v>5</x:v>
      </x:c>
      <x:c r="E1" s="57" t="s">
        <x:v>6</x:v>
      </x:c>
      <x:c r="F1" s="56" t="s">
        <x:v>9</x:v>
      </x:c>
      <x:c r="G1" s="65" t="s">
        <x:v>10</x:v>
      </x:c>
      <x:c r="H1" s="57" t="s">
        <x:v>11</x:v>
      </x:c>
      <x:c r="I1" s="65" t="s">
        <x:v>12</x:v>
      </x:c>
      <x:c r="J1" s="65" t="s">
        <x:v>13</x:v>
      </x:c>
      <x:c r="K1" s="65" t="s">
        <x:v>14</x:v>
      </x:c>
      <x:c r="L1" s="57" t="s">
        <x:v>15</x:v>
      </x:c>
    </x:row>
    <x:row r="2">
      <x:c r="A2" s="66" t="n">
        <x:v>3</x:v>
      </x:c>
      <x:c r="B2" s="67" t="str">
        <x:f>_xlfn.IFNA(VLOOKUP(A2,InfoSecThreats!A:B,2,FALSE),"")</x:f>
        <x:v>Information extortion</x:v>
      </x:c>
      <x:c r="C2" s="66" t="n">
        <x:v>1</x:v>
      </x:c>
      <x:c r="D2" s="67" t="str">
        <x:f>_xlfn.IFNA(VLOOKUP(Vulnerabilities!C2,Assets!A:C,2,FALSE),"")</x:f>
        <x:v>Data</x:v>
      </x:c>
      <x:c r="E2" s="67" t="str">
        <x:f>_xlfn.IFNA(VLOOKUP(Vulnerabilities!C2,Assets!A:C,3,FALSE),"")</x:f>
        <x:v>Customer accounting and tax records</x:v>
      </x:c>
      <x:c r="F2" s="66" t="n">
        <x:v>1</x:v>
      </x:c>
      <x:c r="G2" s="58" t="str">
        <x:f>IF(ISBLANK(F2),"",_xlfn.CONCAT("T",A2,"V",F2,"A",C2))</x:f>
        <x:v>T3V1A1</x:v>
      </x:c>
      <x:c r="H2" s="59" t="str">
        <x:v>Ransomware encrypts customer accounting and tax records, preventing the firm from serving clients and meeting compliance deadlines.</x:v>
      </x:c>
      <x:c r="I2" s="66" t="str">
        <x:v>High</x:v>
      </x:c>
      <x:c r="J2" s="66" t="str">
        <x:v>Very High</x:v>
      </x:c>
      <x:c r="K2" s="58" t="str">
        <x:f>_xlfn.IFNA(VLOOKUP(_xlfn.CONCAT(I2,"|",J2),RiskValues!C:D,2,FALSE),"")</x:f>
        <x:v>Very High</x:v>
      </x:c>
      <x:c r="L2" s="59" t="n">
        <x:v>1</x:v>
      </x:c>
    </x:row>
    <x:row r="3">
      <x:c r="A3" s="66" t="n">
        <x:v>1</x:v>
      </x:c>
      <x:c r="B3" s="67" t="str">
        <x:f>_xlfn.IFNA(VLOOKUP(A3,InfoSecThreats!A:B,2,FALSE),"")</x:f>
        <x:v>People errors</x:v>
      </x:c>
      <x:c r="C3" s="66" t="n">
        <x:v>3</x:v>
      </x:c>
      <x:c r="D3" s="67" t="str">
        <x:f>_xlfn.IFNA(VLOOKUP(Vulnerabilities!C3,Assets!A:C,2,FALSE),"")</x:f>
        <x:v>Data</x:v>
      </x:c>
      <x:c r="E3" s="67" t="str">
        <x:f>_xlfn.IFNA(VLOOKUP(Vulnerabilities!C3,Assets!A:C,3,FALSE),"")</x:f>
        <x:v>Staff login credentials and SSH private keys</x:v>
      </x:c>
      <x:c r="F3" s="66" t="n">
        <x:v>1</x:v>
      </x:c>
      <x:c r="G3" s="58" t="str">
        <x:f t="shared" ref="G3:G66" si="0">IF(ISBLANK(F3),"",_xlfn.CONCAT("T",A3,"V",F3,"A",C3))</x:f>
        <x:v>T1V1A3</x:v>
      </x:c>
      <x:c r="H3" s="59" t="str">
        <x:v>A staff member enters their OpenWRT or business login credentials into a phishing site, allowing unauthorised access.</x:v>
      </x:c>
      <x:c r="I3" s="66" t="str">
        <x:v>High</x:v>
      </x:c>
      <x:c r="J3" s="66" t="str">
        <x:v>Very High</x:v>
      </x:c>
      <x:c r="K3" s="58" t="str">
        <x:f>_xlfn.IFNA(VLOOKUP(_xlfn.CONCAT(I3,"|",J3),RiskValues!C:D,2,FALSE),"")</x:f>
        <x:v>Very High</x:v>
      </x:c>
      <x:c r="L3" s="59" t="n">
        <x:v>2</x:v>
      </x:c>
    </x:row>
    <x:row r="4">
      <x:c r="A4" s="66" t="n">
        <x:v>4</x:v>
      </x:c>
      <x:c r="B4" s="67" t="str">
        <x:f>_xlfn.IFNA(VLOOKUP(A4,InfoSecThreats!A:B,2,FALSE),"")</x:f>
        <x:v>Espionage and trespass</x:v>
      </x:c>
      <x:c r="C4" s="66" t="n">
        <x:v>6</x:v>
      </x:c>
      <x:c r="D4" s="67" t="str">
        <x:f>_xlfn.IFNA(VLOOKUP(Vulnerabilities!C4,Assets!A:C,2,FALSE),"")</x:f>
        <x:v>Hardware</x:v>
      </x:c>
      <x:c r="E4" s="67" t="str">
        <x:f>_xlfn.IFNA(VLOOKUP(Vulnerabilities!C4,Assets!A:C,3,FALSE),"")</x:f>
        <x:v>OpenWRT router/firewall VM</x:v>
      </x:c>
      <x:c r="F4" s="66" t="n">
        <x:v>1</x:v>
      </x:c>
      <x:c r="G4" s="58" t="str">
        <x:f t="shared" si="0"/>
        <x:v>T2V2A1</x:v>
      </x:c>
      <x:c r="H4" s="59" t="str">
        <x:v>Weak or default root credentials allow an attacker to access the OpenWRT router/firewall and change security settings.</x:v>
      </x:c>
      <x:c r="I4" s="66" t="str">
        <x:v>Moderate</x:v>
      </x:c>
      <x:c r="J4" s="66" t="str">
        <x:v>Very High</x:v>
      </x:c>
      <x:c r="K4" s="58" t="str">
        <x:f>_xlfn.IFNA(VLOOKUP(_xlfn.CONCAT(I4,"|",J4),RiskValues!C:D,2,FALSE),"")</x:f>
        <x:v>High</x:v>
      </x:c>
      <x:c r="L4" s="59" t="n">
        <x:v>3</x:v>
      </x:c>
    </x:row>
    <x:row r="5">
      <x:c r="A5" s="66" t="n">
        <x:v>2</x:v>
      </x:c>
      <x:c r="B5" s="67" t="str">
        <x:f>_xlfn.IFNA(VLOOKUP(A5,InfoSecThreats!A:B,2,FALSE),"")</x:f>
        <x:v>Software attacks</x:v>
      </x:c>
      <x:c r="C5" s="66" t="n">
        <x:v>7</x:v>
      </x:c>
      <x:c r="D5" s="67" t="str">
        <x:f>_xlfn.IFNA(VLOOKUP(Vulnerabilities!C5,Assets!A:C,2,FALSE),"")</x:f>
        <x:v>Hardware</x:v>
      </x:c>
      <x:c r="E5" s="67" t="str">
        <x:f>_xlfn.IFNA(VLOOKUP(Vulnerabilities!C5,Assets!A:C,3,FALSE),"")</x:f>
        <x:v>Windows staff workstations</x:v>
      </x:c>
      <x:c r="F5" s="66" t="n">
        <x:v>1</x:v>
      </x:c>
      <x:c r="G5" s="58" t="str">
        <x:f t="shared" si="0"/>
        <x:v>T1V1A2</x:v>
      </x:c>
      <x:c r="H5" s="59" t="str">
        <x:v>Malware or a keylogger on a Windows staff workstation captures client data or administrator credentials.</x:v>
      </x:c>
      <x:c r="I5" s="59" t="str">
        <x:v>Moderate</x:v>
      </x:c>
      <x:c r="J5" s="59" t="str">
        <x:v>Very High</x:v>
      </x:c>
      <x:c r="K5" s="58" t="str">
        <x:f>_xlfn.IFNA(VLOOKUP(_xlfn.CONCAT(I5,"|",J5),RiskValues!C:D,2,FALSE),"")</x:f>
        <x:v>High</x:v>
      </x:c>
      <x:c r="L5" s="59" t="n">
        <x:v>4</x:v>
      </x:c>
    </x:row>
    <x:row r="6">
      <x:c r="A6" s="66" t="n">
        <x:v>4</x:v>
      </x:c>
      <x:c r="B6" s="67" t="str">
        <x:f>_xlfn.IFNA(VLOOKUP(A6,InfoSecThreats!A:B,2,FALSE),"")</x:f>
        <x:v>Espionage and trespass</x:v>
      </x:c>
      <x:c r="C6" s="66" t="n">
        <x:v>11</x:v>
      </x:c>
      <x:c r="D6" s="67" t="str">
        <x:f>_xlfn.IFNA(VLOOKUP(Vulnerabilities!C6,Assets!A:C,2,FALSE),"")</x:f>
        <x:v>Network</x:v>
      </x:c>
      <x:c r="E6" s="67" t="str">
        <x:f>_xlfn.IFNA(VLOOKUP(Vulnerabilities!C6,Assets!A:C,3,FALSE),"")</x:f>
        <x:v>Management network br-mng 192.168.56.0/24</x:v>
      </x:c>
      <x:c r="F6" s="66" t="n">
        <x:v>1</x:v>
      </x:c>
      <x:c r="G6" s="58" t="str">
        <x:f t="shared" si="0"/>
        <x:v>T5V1A2</x:v>
      </x:c>
      <x:c r="H6" s="59" t="str">
        <x:v>The management web interface on port 81 is reachable from the management network if access is not restricted.</x:v>
      </x:c>
      <x:c r="I6" s="59" t="str">
        <x:v>Moderate</x:v>
      </x:c>
      <x:c r="J6" s="59" t="str">
        <x:v>High</x:v>
      </x:c>
      <x:c r="K6" s="58" t="str">
        <x:f>_xlfn.IFNA(VLOOKUP(_xlfn.CONCAT(I6,"|",J6),RiskValues!C:D,2,FALSE),"")</x:f>
        <x:v>Moderate</x:v>
      </x:c>
      <x:c r="L6" s="59" t="n">
        <x:v>5</x:v>
      </x:c>
    </x:row>
    <x:row r="7">
      <x:c r="A7" s="66" t="n">
        <x:v>1</x:v>
      </x:c>
      <x:c r="B7" s="67" t="str">
        <x:f>_xlfn.IFNA(VLOOKUP(A7,InfoSecThreats!A:B,2,FALSE),"")</x:f>
        <x:v>People errors</x:v>
      </x:c>
      <x:c r="C7" s="66" t="n">
        <x:v>4</x:v>
      </x:c>
      <x:c r="D7" s="67" t="str">
        <x:f>_xlfn.IFNA(VLOOKUP(Vulnerabilities!C7,Assets!A:C,2,FALSE),"")</x:f>
        <x:v>Data</x:v>
      </x:c>
      <x:c r="E7" s="67" t="str">
        <x:f>_xlfn.IFNA(VLOOKUP(Vulnerabilities!C7,Assets!A:C,3,FALSE),"")</x:f>
        <x:v>OpenWRT firewall and router configuration</x:v>
      </x:c>
      <x:c r="F7" s="66" t="n">
        <x:v>1</x:v>
      </x:c>
      <x:c r="G7" s="58" t="str">
        <x:f t="shared" si="0"/>
        <x:v>T5V2A2</x:v>
      </x:c>
      <x:c r="H7" s="59" t="str">
        <x:v>A firewall rule is misconfigured, accidentally exposing the management interface or blocking legitimate business traffic.</x:v>
      </x:c>
      <x:c r="I7" s="59" t="str">
        <x:v>Moderate</x:v>
      </x:c>
      <x:c r="J7" s="59" t="str">
        <x:v>High</x:v>
      </x:c>
      <x:c r="K7" s="58" t="str">
        <x:f>_xlfn.IFNA(VLOOKUP(_xlfn.CONCAT(I7,"|",J7),RiskValues!C:D,2,FALSE),"")</x:f>
        <x:v>Moderate</x:v>
      </x:c>
      <x:c r="L7" s="59" t="n">
        <x:v>6</x:v>
      </x:c>
    </x:row>
    <x:row r="8">
      <x:c r="A8" s="66" t="n">
        <x:v>6</x:v>
      </x:c>
      <x:c r="B8" s="67" t="str">
        <x:f>_xlfn.IFNA(VLOOKUP(A8,InfoSecThreats!A:B,2,FALSE),"")</x:f>
        <x:v>Technological obsolescence</x:v>
      </x:c>
      <x:c r="C8" s="66" t="n">
        <x:v>6</x:v>
      </x:c>
      <x:c r="D8" s="67" t="str">
        <x:f>_xlfn.IFNA(VLOOKUP(Vulnerabilities!C8,Assets!A:C,2,FALSE),"")</x:f>
        <x:v>Hardware</x:v>
      </x:c>
      <x:c r="E8" s="67" t="str">
        <x:f>_xlfn.IFNA(VLOOKUP(Vulnerabilities!C8,Assets!A:C,3,FALSE),"")</x:f>
        <x:v>OpenWRT router/firewall VM</x:v>
      </x:c>
      <x:c r="F8" s="66" t="n">
        <x:v>1</x:v>
      </x:c>
      <x:c r="G8" s="58" t="str">
        <x:f t="shared" si="0"/>
        <x:v>T5V3A2</x:v>
      </x:c>
      <x:c r="H8" s="59" t="str">
        <x:v>OpenWRT packages or services become outdated, leaving known vulnerabilities unpatched.</x:v>
      </x:c>
      <x:c r="I8" s="59" t="str">
        <x:v>Moderate</x:v>
      </x:c>
      <x:c r="J8" s="59" t="str">
        <x:v>High</x:v>
      </x:c>
      <x:c r="K8" s="58" t="str">
        <x:f>_xlfn.IFNA(VLOOKUP(_xlfn.CONCAT(I8,"|",J8),RiskValues!C:D,2,FALSE),"")</x:f>
        <x:v>Moderate</x:v>
      </x:c>
      <x:c r="L8" s="59" t="n">
        <x:v>7</x:v>
      </x:c>
    </x:row>
    <x:row r="9">
      <x:c r="A9" s="59" t="n">
        <x:v>8</x:v>
      </x:c>
      <x:c r="B9" s="67" t="str">
        <x:f>_xlfn.IFNA(VLOOKUP(A9,InfoSecThreats!A:B,2,FALSE),"")</x:f>
        <x:v>Technical hardware failures or errors</x:v>
      </x:c>
      <x:c r="C9" s="59" t="n">
        <x:v>6</x:v>
      </x:c>
      <x:c r="D9" s="67" t="str">
        <x:f>_xlfn.IFNA(VLOOKUP(Vulnerabilities!C9,Assets!A:C,2,FALSE),"")</x:f>
        <x:v>Hardware</x:v>
      </x:c>
      <x:c r="E9" s="67" t="str">
        <x:f>_xlfn.IFNA(VLOOKUP(Vulnerabilities!C9,Assets!A:C,3,FALSE),"")</x:f>
        <x:v>OpenWRT router/firewall VM</x:v>
      </x:c>
      <x:c r="F9" s="59" t="n">
        <x:v>1</x:v>
      </x:c>
      <x:c r="G9" s="58" t="str">
        <x:f t="shared" si="0"/>
      </x:c>
      <x:c r="H9" s="59" t="str">
        <x:v>A host disk or VM storage failure causes loss of the OpenWRT configuration and hosted website files.</x:v>
      </x:c>
      <x:c r="I9" s="59" t="str">
        <x:v>Moderate</x:v>
      </x:c>
      <x:c r="J9" s="59" t="str">
        <x:v>High</x:v>
      </x:c>
      <x:c r="K9" s="58" t="str">
        <x:f>_xlfn.IFNA(VLOOKUP(_xlfn.CONCAT(I9,"|",J9),RiskValues!C:D,2,FALSE),"")</x:f>
        <x:v>Moderate</x:v>
      </x:c>
      <x:c r="L9" s="59" t="n">
        <x:v>8</x:v>
      </x:c>
    </x:row>
    <x:row r="10">
      <x:c r="A10" s="59" t="n">
        <x:v>9</x:v>
      </x:c>
      <x:c r="B10" s="67" t="str">
        <x:f>_xlfn.IFNA(VLOOKUP(A10,InfoSecThreats!A:B,2,FALSE),"")</x:f>
        <x:v>Technical software failures or errors</x:v>
      </x:c>
      <x:c r="C10" s="59" t="n">
        <x:v>9</x:v>
      </x:c>
      <x:c r="D10" s="67" t="str">
        <x:f>_xlfn.IFNA(VLOOKUP(Vulnerabilities!C10,Assets!A:C,2,FALSE),"")</x:f>
        <x:v>Software</x:v>
      </x:c>
      <x:c r="E10" s="67" t="str">
        <x:f>_xlfn.IFNA(VLOOKUP(Vulnerabilities!C10,Assets!A:C,3,FALSE),"")</x:f>
        <x:v>uhttpd web server service</x:v>
      </x:c>
      <x:c r="F10" s="59" t="n">
        <x:v>1</x:v>
      </x:c>
      <x:c r="G10" s="58" t="str">
        <x:f t="shared" si="0"/>
      </x:c>
      <x:c r="H10" s="59" t="str">
        <x:v>An incorrect uhttpd configuration serves the wrong directory or exposes administrative content to users.</x:v>
      </x:c>
      <x:c r="I10" s="59" t="str">
        <x:v>Moderate</x:v>
      </x:c>
      <x:c r="J10" s="59" t="str">
        <x:v>High</x:v>
      </x:c>
      <x:c r="K10" s="58" t="str">
        <x:f>_xlfn.IFNA(VLOOKUP(_xlfn.CONCAT(I10,"|",J10),RiskValues!C:D,2,FALSE),"")</x:f>
        <x:v>Moderate</x:v>
      </x:c>
      <x:c r="L10" s="59" t="n">
        <x:v>9</x:v>
      </x:c>
    </x:row>
    <x:row r="11">
      <x:c r="A11" s="59" t="n">
        <x:v>2</x:v>
      </x:c>
      <x:c r="B11" s="67" t="str">
        <x:f>_xlfn.IFNA(VLOOKUP(A11,InfoSecThreats!A:B,2,FALSE),"")</x:f>
        <x:v>Software attacks</x:v>
      </x:c>
      <x:c r="C11" s="59" t="n">
        <x:v>10</x:v>
      </x:c>
      <x:c r="D11" s="67" t="str">
        <x:f>_xlfn.IFNA(VLOOKUP(Vulnerabilities!C11,Assets!A:C,2,FALSE),"")</x:f>
        <x:v>Software</x:v>
      </x:c>
      <x:c r="E11" s="67" t="str">
        <x:f>_xlfn.IFNA(VLOOKUP(Vulnerabilities!C11,Assets!A:C,3,FALSE),"")</x:f>
        <x:v>Dropbear SSH service</x:v>
      </x:c>
      <x:c r="F11" s="59" t="n">
        <x:v>1</x:v>
      </x:c>
      <x:c r="G11" s="58" t="str">
        <x:f t="shared" si="0"/>
      </x:c>
      <x:c r="H11" s="59" t="str">
        <x:v>Password-based SSH on port 22 is exposed to brute-force attempts if key-based authentication is not enforced.</x:v>
      </x:c>
      <x:c r="I11" s="59" t="str">
        <x:v>Moderate</x:v>
      </x:c>
      <x:c r="J11" s="59" t="str">
        <x:v>High</x:v>
      </x:c>
      <x:c r="K11" s="58" t="str">
        <x:f>_xlfn.IFNA(VLOOKUP(_xlfn.CONCAT(I11,"|",J11),RiskValues!C:D,2,FALSE),"")</x:f>
        <x:v>Moderate</x:v>
      </x:c>
      <x:c r="L11" s="59" t="n">
        <x:v>10</x:v>
      </x:c>
    </x:row>
    <x:row r="12">
      <x:c r="A12" s="59" t="n">
        <x:v>11</x:v>
      </x:c>
      <x:c r="B12" s="67" t="str">
        <x:f>_xlfn.IFNA(VLOOKUP(A12,InfoSecThreats!A:B,2,FALSE),"")</x:f>
        <x:v>Sabotage and vandalism</x:v>
      </x:c>
      <x:c r="C12" s="59" t="n">
        <x:v>4</x:v>
      </x:c>
      <x:c r="D12" s="67" t="str">
        <x:f>_xlfn.IFNA(VLOOKUP(Vulnerabilities!C12,Assets!A:C,2,FALSE),"")</x:f>
        <x:v>Data</x:v>
      </x:c>
      <x:c r="E12" s="67" t="str">
        <x:f>_xlfn.IFNA(VLOOKUP(Vulnerabilities!C12,Assets!A:C,3,FALSE),"")</x:f>
        <x:v>OpenWRT firewall and router configuration</x:v>
      </x:c>
      <x:c r="F12" s="59" t="n">
        <x:v>1</x:v>
      </x:c>
      <x:c r="G12" s="58" t="str">
        <x:f t="shared" si="0"/>
      </x:c>
      <x:c r="H12" s="59" t="str">
        <x:v>A malicious insider changes firewall rules or deletes configuration after obtaining administrative access.</x:v>
      </x:c>
      <x:c r="I12" s="59" t="str">
        <x:v>Low</x:v>
      </x:c>
      <x:c r="J12" s="59" t="str">
        <x:v>Very High</x:v>
      </x:c>
      <x:c r="K12" s="58" t="str">
        <x:f>_xlfn.IFNA(VLOOKUP(_xlfn.CONCAT(I12,"|",J12),RiskValues!C:D,2,FALSE),"")</x:f>
        <x:v>Moderate</x:v>
      </x:c>
      <x:c r="L12" s="59" t="n">
        <x:v>11</x:v>
      </x:c>
    </x:row>
    <x:row r="13">
      <x:c r="A13" s="59" t="n">
        <x:v>3</x:v>
      </x:c>
      <x:c r="B13" s="67" t="str">
        <x:f>_xlfn.IFNA(VLOOKUP(A13,InfoSecThreats!A:B,2,FALSE),"")</x:f>
        <x:v>Information extortion</x:v>
      </x:c>
      <x:c r="C13" s="59" t="n">
        <x:v>8</x:v>
      </x:c>
      <x:c r="D13" s="67" t="str">
        <x:f>_xlfn.IFNA(VLOOKUP(Vulnerabilities!C13,Assets!A:C,2,FALSE),"")</x:f>
        <x:v>Hardware</x:v>
      </x:c>
      <x:c r="E13" s="67" t="str">
        <x:f>_xlfn.IFNA(VLOOKUP(Vulnerabilities!C13,Assets!A:C,3,FALSE),"")</x:f>
        <x:v>External backup drive / backup media</x:v>
      </x:c>
      <x:c r="F13" s="59" t="n">
        <x:v>1</x:v>
      </x:c>
      <x:c r="G13" s="58" t="str">
        <x:f t="shared" si="0"/>
      </x:c>
      <x:c r="H13" s="59" t="str">
        <x:v>Ransomware encrypts the backup drive if it remains connected to an infected workstation.</x:v>
      </x:c>
      <x:c r="I13" s="59" t="str">
        <x:v>Moderate</x:v>
      </x:c>
      <x:c r="J13" s="59" t="str">
        <x:v>High</x:v>
      </x:c>
      <x:c r="K13" s="58" t="str">
        <x:f>_xlfn.IFNA(VLOOKUP(_xlfn.CONCAT(I13,"|",J13),RiskValues!C:D,2,FALSE),"")</x:f>
        <x:v>Moderate</x:v>
      </x:c>
      <x:c r="L13" s="59" t="n">
        <x:v>12</x:v>
      </x:c>
    </x:row>
    <x:row r="14">
      <x:c r="A14" s="59" t="n">
        <x:v>5</x:v>
      </x:c>
      <x:c r="B14" s="67" t="str">
        <x:f>_xlfn.IFNA(VLOOKUP(A14,InfoSecThreats!A:B,2,FALSE),"")</x:f>
        <x:v>Theft</x:v>
      </x:c>
      <x:c r="C14" s="59" t="n">
        <x:v>7</x:v>
      </x:c>
      <x:c r="D14" s="67" t="str">
        <x:f>_xlfn.IFNA(VLOOKUP(Vulnerabilities!C14,Assets!A:C,2,FALSE),"")</x:f>
        <x:v>Hardware</x:v>
      </x:c>
      <x:c r="E14" s="67" t="str">
        <x:f>_xlfn.IFNA(VLOOKUP(Vulnerabilities!C14,Assets!A:C,3,FALSE),"")</x:f>
        <x:v>Windows staff workstations</x:v>
      </x:c>
      <x:c r="F14" s="59" t="n">
        <x:v>1</x:v>
      </x:c>
      <x:c r="G14" s="58" t="str">
        <x:f t="shared" si="0"/>
      </x:c>
      <x:c r="H14" s="59" t="str">
        <x:v>A staff workstation is stolen, exposing locally cached client files or saved browser sessions.</x:v>
      </x:c>
      <x:c r="I14" s="59" t="str">
        <x:v>Low</x:v>
      </x:c>
      <x:c r="J14" s="59" t="str">
        <x:v>High</x:v>
      </x:c>
      <x:c r="K14" s="58" t="str">
        <x:f>_xlfn.IFNA(VLOOKUP(_xlfn.CONCAT(I14,"|",J14),RiskValues!C:D,2,FALSE),"")</x:f>
        <x:v>Low</x:v>
      </x:c>
      <x:c r="L14" s="59" t="n">
        <x:v>13</x:v>
      </x:c>
    </x:row>
    <x:row r="15">
      <x:c r="A15" s="59" t="n">
        <x:v>5</x:v>
      </x:c>
      <x:c r="B15" s="67" t="str">
        <x:f>_xlfn.IFNA(VLOOKUP(A15,InfoSecThreats!A:B,2,FALSE),"")</x:f>
        <x:v>Theft</x:v>
      </x:c>
      <x:c r="C15" s="59" t="n">
        <x:v>8</x:v>
      </x:c>
      <x:c r="D15" s="67" t="str">
        <x:f>_xlfn.IFNA(VLOOKUP(Vulnerabilities!C15,Assets!A:C,2,FALSE),"")</x:f>
        <x:v>Hardware</x:v>
      </x:c>
      <x:c r="E15" s="67" t="str">
        <x:f>_xlfn.IFNA(VLOOKUP(Vulnerabilities!C15,Assets!A:C,3,FALSE),"")</x:f>
        <x:v>External backup drive / backup media</x:v>
      </x:c>
      <x:c r="F15" s="59" t="n">
        <x:v>1</x:v>
      </x:c>
      <x:c r="G15" s="58" t="str">
        <x:f t="shared" si="0"/>
      </x:c>
      <x:c r="H15" s="59" t="str">
        <x:v>The backup drive is stolen from the office, exposing copies of business or client data.</x:v>
      </x:c>
      <x:c r="I15" s="59" t="str">
        <x:v>Low</x:v>
      </x:c>
      <x:c r="J15" s="59" t="str">
        <x:v>High</x:v>
      </x:c>
      <x:c r="K15" s="58" t="str">
        <x:f>_xlfn.IFNA(VLOOKUP(_xlfn.CONCAT(I15,"|",J15),RiskValues!C:D,2,FALSE),"")</x:f>
        <x:v>Low</x:v>
      </x:c>
      <x:c r="L15" s="59" t="n">
        <x:v>14</x:v>
      </x:c>
    </x:row>
    <x:row r="16">
      <x:c r="A16" s="59" t="n">
        <x:v>7</x:v>
      </x:c>
      <x:c r="B16" s="67" t="str">
        <x:f>_xlfn.IFNA(VLOOKUP(A16,InfoSecThreats!A:B,2,FALSE),"")</x:f>
        <x:v>Forces of nature</x:v>
      </x:c>
      <x:c r="C16" s="59" t="n">
        <x:v>6</x:v>
      </x:c>
      <x:c r="D16" s="67" t="str">
        <x:f>_xlfn.IFNA(VLOOKUP(Vulnerabilities!C16,Assets!A:C,2,FALSE),"")</x:f>
        <x:v>Hardware</x:v>
      </x:c>
      <x:c r="E16" s="67" t="str">
        <x:f>_xlfn.IFNA(VLOOKUP(Vulnerabilities!C16,Assets!A:C,3,FALSE),"")</x:f>
        <x:v>OpenWRT router/firewall VM</x:v>
      </x:c>
      <x:c r="F16" s="59" t="n">
        <x:v>1</x:v>
      </x:c>
      <x:c r="G16" s="58" t="str">
        <x:f t="shared" si="0"/>
      </x:c>
      <x:c r="H16" s="59" t="str">
        <x:v>Fire, flood, or other physical disaster damages the OpenWRT router/firewall VM host and interrupts network access.</x:v>
      </x:c>
      <x:c r="I16" s="59" t="str">
        <x:v>Low</x:v>
      </x:c>
      <x:c r="J16" s="59" t="str">
        <x:v>High</x:v>
      </x:c>
      <x:c r="K16" s="58" t="str">
        <x:f>_xlfn.IFNA(VLOOKUP(_xlfn.CONCAT(I16,"|",J16),RiskValues!C:D,2,FALSE),"")</x:f>
        <x:v>Low</x:v>
      </x:c>
      <x:c r="L16" s="59" t="n">
        <x:v>15</x:v>
      </x:c>
    </x:row>
    <x:row r="17">
      <x:c r="A17" s="59" t="n">
        <x:v>10</x:v>
      </x:c>
      <x:c r="B17" s="67" t="str">
        <x:f>_xlfn.IFNA(VLOOKUP(A17,InfoSecThreats!A:B,2,FALSE),"")</x:f>
        <x:v>Changing quality of services</x:v>
      </x:c>
      <x:c r="C17" s="59" t="n">
        <x:v>12</x:v>
      </x:c>
      <x:c r="D17" s="67" t="str">
        <x:f>_xlfn.IFNA(VLOOKUP(Vulnerabilities!C17,Assets!A:C,2,FALSE),"")</x:f>
        <x:v>Network</x:v>
      </x:c>
      <x:c r="E17" s="67" t="str">
        <x:f>_xlfn.IFNA(VLOOKUP(Vulnerabilities!C17,Assets!A:C,3,FALSE),"")</x:f>
        <x:v>Production DMZ / web server network</x:v>
      </x:c>
      <x:c r="F17" s="59" t="n">
        <x:v>1</x:v>
      </x:c>
      <x:c r="G17" s="58" t="str">
        <x:f t="shared" si="0"/>
      </x:c>
      <x:c r="H17" s="59" t="str">
        <x:v>An ISP outage or VirtualBox/NAT connection failure prevents clients from accessing the business website.</x:v>
      </x:c>
      <x:c r="I17" s="59" t="str">
        <x:v>Moderate</x:v>
      </x:c>
      <x:c r="J17" s="59" t="str">
        <x:v>Moderate</x:v>
      </x:c>
      <x:c r="K17" s="58" t="str">
        <x:f>_xlfn.IFNA(VLOOKUP(_xlfn.CONCAT(I17,"|",J17),RiskValues!C:D,2,FALSE),"")</x:f>
        <x:v>Moderate</x:v>
      </x:c>
      <x:c r="L17" s="59" t="n">
        <x:v>16</x:v>
      </x:c>
    </x:row>
    <x:row r="18">
      <x:c r="A18" s="59" t="n">
        <x:v>9</x:v>
      </x:c>
      <x:c r="B18" s="67" t="str">
        <x:f>_xlfn.IFNA(VLOOKUP(A18,InfoSecThreats!A:B,2,FALSE),"")</x:f>
        <x:v>Technical software failures or errors</x:v>
      </x:c>
      <x:c r="C18" s="59" t="n">
        <x:v>4</x:v>
      </x:c>
      <x:c r="D18" s="67" t="str">
        <x:f>_xlfn.IFNA(VLOOKUP(Vulnerabilities!C18,Assets!A:C,2,FALSE),"")</x:f>
        <x:v>Data</x:v>
      </x:c>
      <x:c r="E18" s="67" t="str">
        <x:f>_xlfn.IFNA(VLOOKUP(Vulnerabilities!C18,Assets!A:C,3,FALSE),"")</x:f>
        <x:v>OpenWRT firewall and router configuration</x:v>
      </x:c>
      <x:c r="F18" s="59" t="n">
        <x:v>1</x:v>
      </x:c>
      <x:c r="G18" s="58" t="str">
        <x:f t="shared" si="0"/>
      </x:c>
      <x:c r="H18" s="59" t="str">
        <x:v>A software or configuration error in firewall settings blocks access to HTTP, SSH, or management functions.</x:v>
      </x:c>
      <x:c r="I18" s="59" t="str">
        <x:v>Moderate</x:v>
      </x:c>
      <x:c r="J18" s="59" t="str">
        <x:v>Moderate</x:v>
      </x:c>
      <x:c r="K18" s="58" t="str">
        <x:f>_xlfn.IFNA(VLOOKUP(_xlfn.CONCAT(I18,"|",J18),RiskValues!C:D,2,FALSE),"")</x:f>
        <x:v>Moderate</x:v>
      </x:c>
      <x:c r="L18" s="59" t="n">
        <x:v>17</x:v>
      </x:c>
    </x:row>
    <x:row r="19">
      <x:c r="A19" s="59" t="n">
        <x:v>1</x:v>
      </x:c>
      <x:c r="B19" s="67" t="str">
        <x:f>_xlfn.IFNA(VLOOKUP(A19,InfoSecThreats!A:B,2,FALSE),"")</x:f>
        <x:v>People errors</x:v>
      </x:c>
      <x:c r="C19" s="59" t="n">
        <x:v>1</x:v>
      </x:c>
      <x:c r="D19" s="67" t="str">
        <x:f>_xlfn.IFNA(VLOOKUP(Vulnerabilities!C19,Assets!A:C,2,FALSE),"")</x:f>
        <x:v>Data</x:v>
      </x:c>
      <x:c r="E19" s="67" t="str">
        <x:f>_xlfn.IFNA(VLOOKUP(Vulnerabilities!C19,Assets!A:C,3,FALSE),"")</x:f>
        <x:v>Customer accounting and tax records</x:v>
      </x:c>
      <x:c r="F19" s="59" t="n">
        <x:v>1</x:v>
      </x:c>
      <x:c r="G19" s="58" t="str">
        <x:f t="shared" si="0"/>
      </x:c>
      <x:c r="H19" s="59" t="str">
        <x:v>A staff member accidentally emails customer accounting records to the wrong recipient.</x:v>
      </x:c>
      <x:c r="I19" s="59" t="str">
        <x:v>Moderate</x:v>
      </x:c>
      <x:c r="J19" s="59" t="str">
        <x:v>High</x:v>
      </x:c>
      <x:c r="K19" s="58" t="str">
        <x:f>_xlfn.IFNA(VLOOKUP(_xlfn.CONCAT(I19,"|",J19),RiskValues!C:D,2,FALSE),"")</x:f>
        <x:v>Moderate</x:v>
      </x:c>
      <x:c r="L19" s="59" t="n">
        <x:v>18</x:v>
      </x:c>
    </x:row>
    <x:row r="20">
      <x:c r="A20" s="59" t="n">
        <x:v>2</x:v>
      </x:c>
      <x:c r="B20" s="67" t="str">
        <x:f>_xlfn.IFNA(VLOOKUP(A20,InfoSecThreats!A:B,2,FALSE),"")</x:f>
        <x:v>Software attacks</x:v>
      </x:c>
      <x:c r="C20" s="59" t="n">
        <x:v>5</x:v>
      </x:c>
      <x:c r="D20" s="67" t="str">
        <x:f>_xlfn.IFNA(VLOOKUP(Vulnerabilities!C20,Assets!A:C,2,FALSE),"")</x:f>
        <x:v>Data</x:v>
      </x:c>
      <x:c r="E20" s="67" t="str">
        <x:f>_xlfn.IFNA(VLOOKUP(Vulnerabilities!C20,Assets!A:C,3,FALSE),"")</x:f>
        <x:v>Business website content and service information</x:v>
      </x:c>
      <x:c r="F20" s="59" t="n">
        <x:v>1</x:v>
      </x:c>
      <x:c r="G20" s="58" t="str">
        <x:f t="shared" si="0"/>
      </x:c>
      <x:c r="H20" s="59" t="str">
        <x:v>Unencrypted HTTP traffic on port 80 exposes website requests and page content to packet sniffing.</x:v>
      </x:c>
      <x:c r="I20" s="59" t="str">
        <x:v>Moderate</x:v>
      </x:c>
      <x:c r="J20" s="59" t="str">
        <x:v>Moderate</x:v>
      </x:c>
      <x:c r="K20" s="58" t="str">
        <x:f>_xlfn.IFNA(VLOOKUP(_xlfn.CONCAT(I20,"|",J20),RiskValues!C:D,2,FALSE),"")</x:f>
        <x:v>Moderate</x:v>
      </x:c>
      <x:c r="L20" s="59" t="n">
        <x:v>19</x:v>
      </x:c>
    </x:row>
    <x:row r="21">
      <x:c r="A21" s="59" t="n">
        <x:v>8</x:v>
      </x:c>
      <x:c r="B21" s="67" t="str">
        <x:f>_xlfn.IFNA(VLOOKUP(A21,InfoSecThreats!A:B,2,FALSE),"")</x:f>
        <x:v>Technical hardware failures or errors</x:v>
      </x:c>
      <x:c r="C21" s="59" t="n">
        <x:v>7</x:v>
      </x:c>
      <x:c r="D21" s="67" t="str">
        <x:f>_xlfn.IFNA(VLOOKUP(Vulnerabilities!C21,Assets!A:C,2,FALSE),"")</x:f>
        <x:v>Hardware</x:v>
      </x:c>
      <x:c r="E21" s="67" t="str">
        <x:f>_xlfn.IFNA(VLOOKUP(Vulnerabilities!C21,Assets!A:C,3,FALSE),"")</x:f>
        <x:v>Windows staff workstations</x:v>
      </x:c>
      <x:c r="F21" s="59" t="n">
        <x:v>1</x:v>
      </x:c>
      <x:c r="G21" s="58" t="str">
        <x:f t="shared" si="0"/>
      </x:c>
      <x:c r="H21" s="59" t="str">
        <x:v>A workstation hard drive failure causes loss of local working documents if files are not backed up.</x:v>
      </x:c>
      <x:c r="I21" s="59" t="str">
        <x:v>Moderate</x:v>
      </x:c>
      <x:c r="J21" s="59" t="str">
        <x:v>Moderate</x:v>
      </x:c>
      <x:c r="K21" s="58" t="str">
        <x:f>_xlfn.IFNA(VLOOKUP(_xlfn.CONCAT(I21,"|",J21),RiskValues!C:D,2,FALSE),"")</x:f>
        <x:v>Moderate</x:v>
      </x:c>
      <x:c r="L21" s="59" t="n">
        <x:v>20</x:v>
      </x:c>
    </x:row>
    <x:row r="22">
      <x:c r="A22" s="59" t="n">
        <x:v>12</x:v>
      </x:c>
      <x:c r="B22" s="67" t="str">
        <x:f>_xlfn.IFNA(VLOOKUP(A22,InfoSecThreats!A:B,2,FALSE),"")</x:f>
        <x:v>IP compromises</x:v>
      </x:c>
      <x:c r="C22" s="59" t="n">
        <x:v>5</x:v>
      </x:c>
      <x:c r="D22" s="67" t="str">
        <x:f>_xlfn.IFNA(VLOOKUP(Vulnerabilities!C22,Assets!A:C,2,FALSE),"")</x:f>
        <x:v>Data</x:v>
      </x:c>
      <x:c r="E22" s="67" t="str">
        <x:f>_xlfn.IFNA(VLOOKUP(Vulnerabilities!C22,Assets!A:C,3,FALSE),"")</x:f>
        <x:v>Business website content and service information</x:v>
      </x:c>
      <x:c r="F22" s="59" t="n">
        <x:v>1</x:v>
      </x:c>
      <x:c r="G22" s="58" t="str">
        <x:f t="shared" si="0"/>
      </x:c>
      <x:c r="H22" s="59" t="str">
        <x:v>Business website text, branding, or service descriptions are copied and reused by another party without permission.</x:v>
      </x:c>
      <x:c r="I22" s="59" t="str">
        <x:v>Low</x:v>
      </x:c>
      <x:c r="J22" s="59" t="str">
        <x:v>Moderate</x:v>
      </x:c>
      <x:c r="K22" s="58" t="str">
        <x:f>_xlfn.IFNA(VLOOKUP(_xlfn.CONCAT(I22,"|",J22),RiskValues!C:D,2,FALSE),"")</x:f>
        <x:v>Low</x:v>
      </x:c>
      <x:c r="L22" s="59" t="n">
        <x:v>21</x:v>
      </x:c>
    </x:row>
    <x:row r="23">
      <x:c r="A23" s="59" t="n">
        <x:v>11</x:v>
      </x:c>
      <x:c r="B23" s="67" t="str">
        <x:f>_xlfn.IFNA(VLOOKUP(A23,InfoSecThreats!A:B,2,FALSE),"")</x:f>
        <x:v>Sabotage and vandalism</x:v>
      </x:c>
      <x:c r="C23" s="59" t="n">
        <x:v>12</x:v>
      </x:c>
      <x:c r="D23" s="67" t="str">
        <x:f>_xlfn.IFNA(VLOOKUP(Vulnerabilities!C23,Assets!A:C,2,FALSE),"")</x:f>
        <x:v>Network</x:v>
      </x:c>
      <x:c r="E23" s="67" t="str">
        <x:f>_xlfn.IFNA(VLOOKUP(Vulnerabilities!C23,Assets!A:C,3,FALSE),"")</x:f>
        <x:v>Production DMZ / web server network</x:v>
      </x:c>
      <x:c r="F23" s="59" t="n">
        <x:v>1</x:v>
      </x:c>
      <x:c r="G23" s="58" t="str">
        <x:f t="shared" si="0"/>
      </x:c>
      <x:c r="H23" s="59" t="str">
        <x:v>Physical vandalism damages office network cabling or switching equipment, interrupting connectivity.</x:v>
      </x:c>
      <x:c r="I23" s="59" t="str">
        <x:v>Low</x:v>
      </x:c>
      <x:c r="J23" s="59" t="str">
        <x:v>High</x:v>
      </x:c>
      <x:c r="K23" s="58" t="str">
        <x:f>_xlfn.IFNA(VLOOKUP(_xlfn.CONCAT(I23,"|",J23),RiskValues!C:D,2,FALSE),"")</x:f>
        <x:v>Low</x:v>
      </x:c>
      <x:c r="L23" s="59" t="n">
        <x:v>22</x:v>
      </x:c>
    </x:row>
    <x:row r="24">
      <x:c r="A24" s="59" t="n">
        <x:v>7</x:v>
      </x:c>
      <x:c r="B24" s="67" t="str">
        <x:f>_xlfn.IFNA(VLOOKUP(A24,InfoSecThreats!A:B,2,FALSE),"")</x:f>
        <x:v>Forces of nature</x:v>
      </x:c>
      <x:c r="C24" s="59" t="n">
        <x:v>8</x:v>
      </x:c>
      <x:c r="D24" s="67" t="str">
        <x:f>_xlfn.IFNA(VLOOKUP(Vulnerabilities!C24,Assets!A:C,2,FALSE),"")</x:f>
        <x:v>Hardware</x:v>
      </x:c>
      <x:c r="E24" s="67" t="str">
        <x:f>_xlfn.IFNA(VLOOKUP(Vulnerabilities!C24,Assets!A:C,3,FALSE),"")</x:f>
        <x:v>External backup drive / backup media</x:v>
      </x:c>
      <x:c r="F24" s="59" t="n">
        <x:v>1</x:v>
      </x:c>
      <x:c r="G24" s="58" t="str">
        <x:f t="shared" si="0"/>
      </x:c>
      <x:c r="H24" s="59" t="str">
        <x:v>A fire or flood destroys on-site backup media, reducing the organisation's ability to recover data.</x:v>
      </x:c>
      <x:c r="I24" s="59" t="str">
        <x:v>Low</x:v>
      </x:c>
      <x:c r="J24" s="59" t="str">
        <x:v>High</x:v>
      </x:c>
      <x:c r="K24" s="58" t="str">
        <x:f>_xlfn.IFNA(VLOOKUP(_xlfn.CONCAT(I24,"|",J24),RiskValues!C:D,2,FALSE),"")</x:f>
        <x:v>Low</x:v>
      </x:c>
      <x:c r="L24" s="59" t="n">
        <x:v>23</x:v>
      </x:c>
    </x:row>
    <x:row r="25">
      <x:c r="A25" s="59" t="n">
        <x:v>10</x:v>
      </x:c>
      <x:c r="B25" s="67" t="str">
        <x:f>_xlfn.IFNA(VLOOKUP(A25,InfoSecThreats!A:B,2,FALSE),"")</x:f>
        <x:v>Changing quality of services</x:v>
      </x:c>
      <x:c r="C25" s="59" t="n">
        <x:v>6</x:v>
      </x:c>
      <x:c r="D25" s="67" t="str">
        <x:f>_xlfn.IFNA(VLOOKUP(Vulnerabilities!C25,Assets!A:C,2,FALSE),"")</x:f>
        <x:v>Hardware</x:v>
      </x:c>
      <x:c r="E25" s="67" t="str">
        <x:f>_xlfn.IFNA(VLOOKUP(Vulnerabilities!C25,Assets!A:C,3,FALSE),"")</x:f>
        <x:v>OpenWRT router/firewall VM</x:v>
      </x:c>
      <x:c r="F25" s="59" t="n">
        <x:v>1</x:v>
      </x:c>
      <x:c r="G25" s="58" t="str">
        <x:f t="shared" si="0"/>
      </x:c>
      <x:c r="H25" s="59" t="str">
        <x:v>Power outage prevents the OpenWRT router/firewall VM and staff workstations from operating.</x:v>
      </x:c>
      <x:c r="I25" s="59" t="str">
        <x:v>Low</x:v>
      </x:c>
      <x:c r="J25" s="59" t="str">
        <x:v>High</x:v>
      </x:c>
      <x:c r="K25" s="58" t="str">
        <x:f>_xlfn.IFNA(VLOOKUP(_xlfn.CONCAT(I25,"|",J25),RiskValues!C:D,2,FALSE),"")</x:f>
        <x:v>Low</x:v>
      </x:c>
      <x:c r="L25" s="59" t="n">
        <x:v>24</x:v>
      </x:c>
    </x:row>
    <x:row r="26">
      <x:c r="A26" s="59" t="n">
        <x:v>6</x:v>
      </x:c>
      <x:c r="B26" s="67" t="str">
        <x:f>_xlfn.IFNA(VLOOKUP(A26,InfoSecThreats!A:B,2,FALSE),"")</x:f>
        <x:v>Technological obsolescence</x:v>
      </x:c>
      <x:c r="C26" s="59" t="n">
        <x:v>9</x:v>
      </x:c>
      <x:c r="D26" s="67" t="str">
        <x:f>_xlfn.IFNA(VLOOKUP(Vulnerabilities!C26,Assets!A:C,2,FALSE),"")</x:f>
        <x:v>Software</x:v>
      </x:c>
      <x:c r="E26" s="67" t="str">
        <x:f>_xlfn.IFNA(VLOOKUP(Vulnerabilities!C26,Assets!A:C,3,FALSE),"")</x:f>
        <x:v>uhttpd web server service</x:v>
      </x:c>
      <x:c r="F26" s="59" t="n">
        <x:v>1</x:v>
      </x:c>
      <x:c r="G26" s="58" t="str">
        <x:f t="shared" si="0"/>
      </x:c>
      <x:c r="H26" s="59" t="str">
        <x:v>The web server service or TLS configuration becomes obsolete, increasing exposure to known weaknesses.</x:v>
      </x:c>
      <x:c r="I26" s="59" t="str">
        <x:v>Low</x:v>
      </x:c>
      <x:c r="J26" s="59" t="str">
        <x:v>Moderate</x:v>
      </x:c>
      <x:c r="K26" s="58" t="str">
        <x:f>_xlfn.IFNA(VLOOKUP(_xlfn.CONCAT(I26,"|",J26),RiskValues!C:D,2,FALSE),"")</x:f>
        <x:v>Low</x:v>
      </x:c>
      <x:c r="L26" s="59" t="n">
        <x:v>25</x:v>
      </x:c>
    </x:row>
    <x:row r="27">
      <x:c r="A27" s="59" t="n">
        <x:v>12</x:v>
      </x:c>
      <x:c r="B27" s="67" t="str">
        <x:f>_xlfn.IFNA(VLOOKUP(A27,InfoSecThreats!A:B,2,FALSE),"")</x:f>
        <x:v>IP compromises</x:v>
      </x:c>
      <x:c r="C27" s="59" t="n">
        <x:v>9</x:v>
      </x:c>
      <x:c r="D27" s="67" t="str">
        <x:f>_xlfn.IFNA(VLOOKUP(Vulnerabilities!C27,Assets!A:C,2,FALSE),"")</x:f>
        <x:v>Software</x:v>
      </x:c>
      <x:c r="E27" s="67" t="str">
        <x:f>_xlfn.IFNA(VLOOKUP(Vulnerabilities!C27,Assets!A:C,3,FALSE),"")</x:f>
        <x:v>uhttpd web server service</x:v>
      </x:c>
      <x:c r="F27" s="59" t="n">
        <x:v>1</x:v>
      </x:c>
      <x:c r="G27" s="58" t="str">
        <x:f t="shared" si="0"/>
      </x:c>
      <x:c r="H27" s="59" t="str">
        <x:v>Unlicensed third-party scripts or templates are used on the website, creating copyright or licensing issues.</x:v>
      </x:c>
      <x:c r="I27" s="59" t="str">
        <x:v>Low</x:v>
      </x:c>
      <x:c r="J27" s="59" t="str">
        <x:v>Moderate</x:v>
      </x:c>
      <x:c r="K27" s="58" t="str">
        <x:f>_xlfn.IFNA(VLOOKUP(_xlfn.CONCAT(I27,"|",J27),RiskValues!C:D,2,FALSE),"")</x:f>
        <x:v>Low</x:v>
      </x:c>
      <x:c r="L27" s="59" t="n">
        <x:v>26</x:v>
      </x:c>
    </x:row>
    <x:row r="28">
      <x:c r="A28" s="59" t="n">
        <x:v>1</x:v>
      </x:c>
      <x:c r="B28" s="67" t="str">
        <x:f>_xlfn.IFNA(VLOOKUP(A28,InfoSecThreats!A:B,2,FALSE),"")</x:f>
        <x:v>People errors</x:v>
      </x:c>
      <x:c r="C28" s="59" t="n">
        <x:v>13</x:v>
      </x:c>
      <x:c r="D28" s="67" t="str">
        <x:f>_xlfn.IFNA(VLOOKUP(Vulnerabilities!C28,Assets!A:C,2,FALSE),"")</x:f>
        <x:v>People</x:v>
      </x:c>
      <x:c r="E28" s="67" t="str">
        <x:f>_xlfn.IFNA(VLOOKUP(Vulnerabilities!C28,Assets!A:C,3,FALSE),"")</x:f>
        <x:v>Administrative and accounting staff</x:v>
      </x:c>
      <x:c r="F28" s="59" t="n">
        <x:v>1</x:v>
      </x:c>
      <x:c r="G28" s="58" t="str">
        <x:f t="shared" si="0"/>
      </x:c>
      <x:c r="H28" s="59" t="str">
        <x:v>Staff do not follow secure handling procedures and leave client information visible on screens or printouts.</x:v>
      </x:c>
      <x:c r="I28" s="59" t="str">
        <x:v>Moderate</x:v>
      </x:c>
      <x:c r="J28" s="59" t="str">
        <x:v>Moderate</x:v>
      </x:c>
      <x:c r="K28" s="58" t="str">
        <x:f>_xlfn.IFNA(VLOOKUP(_xlfn.CONCAT(I28,"|",J28),RiskValues!C:D,2,FALSE),"")</x:f>
        <x:v>Moderate</x:v>
      </x:c>
      <x:c r="L28" s="59" t="n">
        <x:v>27</x:v>
      </x:c>
    </x:row>
    <x:row r="29">
      <x:c r="A29" s="59" t="n">
        <x:v>3</x:v>
      </x:c>
      <x:c r="B29" s="67" t="str">
        <x:f>_xlfn.IFNA(VLOOKUP(A29,InfoSecThreats!A:B,2,FALSE),"")</x:f>
        <x:v>Information extortion</x:v>
      </x:c>
      <x:c r="C29" s="59" t="n">
        <x:v>14</x:v>
      </x:c>
      <x:c r="D29" s="67" t="str">
        <x:f>_xlfn.IFNA(VLOOKUP(Vulnerabilities!C29,Assets!A:C,2,FALSE),"")</x:f>
        <x:v>Processes</x:v>
      </x:c>
      <x:c r="E29" s="67" t="str">
        <x:f>_xlfn.IFNA(VLOOKUP(Vulnerabilities!C29,Assets!A:C,3,FALSE),"")</x:f>
        <x:v>Backup and incident response process</x:v>
      </x:c>
      <x:c r="F29" s="59" t="n">
        <x:v>1</x:v>
      </x:c>
      <x:c r="G29" s="58" t="str">
        <x:f t="shared" si="0"/>
      </x:c>
      <x:c r="H29" s="59" t="str">
        <x:v>The incident response process is incomplete, delaying recovery after ransomware or unauthorised access.</x:v>
      </x:c>
      <x:c r="I29" s="59" t="str">
        <x:v>Moderate</x:v>
      </x:c>
      <x:c r="J29" s="59" t="str">
        <x:v>High</x:v>
      </x:c>
      <x:c r="K29" s="58" t="str">
        <x:f>_xlfn.IFNA(VLOOKUP(_xlfn.CONCAT(I29,"|",J29),RiskValues!C:D,2,FALSE),"")</x:f>
        <x:v>Moderate</x:v>
      </x:c>
      <x:c r="L29" s="59" t="n">
        <x:v>28</x:v>
      </x:c>
    </x:row>
    <x:row r="30">
      <x:c r="A30" s="59" t="n">
        <x:v>4</x:v>
      </x:c>
      <x:c r="B30" s="67" t="str">
        <x:f>_xlfn.IFNA(VLOOKUP(A30,InfoSecThreats!A:B,2,FALSE),"")</x:f>
        <x:v>Espionage and trespass</x:v>
      </x:c>
      <x:c r="C30" s="59" t="n">
        <x:v>3</x:v>
      </x:c>
      <x:c r="D30" s="67" t="str">
        <x:f>_xlfn.IFNA(VLOOKUP(Vulnerabilities!C30,Assets!A:C,2,FALSE),"")</x:f>
        <x:v>Data</x:v>
      </x:c>
      <x:c r="E30" s="67" t="str">
        <x:f>_xlfn.IFNA(VLOOKUP(Vulnerabilities!C30,Assets!A:C,3,FALSE),"")</x:f>
        <x:v>Staff login credentials and SSH private keys</x:v>
      </x:c>
      <x:c r="F30" s="59" t="n">
        <x:v>1</x:v>
      </x:c>
      <x:c r="G30" s="58" t="str">
        <x:f t="shared" si="0"/>
      </x:c>
      <x:c r="H30" s="59" t="str">
        <x:v>SSH private keys are stored without passphrases or copied to insecure locations, enabling unauthorised login.</x:v>
      </x:c>
      <x:c r="I30" s="59" t="str">
        <x:v>Low</x:v>
      </x:c>
      <x:c r="J30" s="59" t="str">
        <x:v>Very High</x:v>
      </x:c>
      <x:c r="K30" s="58" t="str">
        <x:f>_xlfn.IFNA(VLOOKUP(_xlfn.CONCAT(I30,"|",J30),RiskValues!C:D,2,FALSE),"")</x:f>
        <x:v>Moderate</x:v>
      </x:c>
      <x:c r="L30" s="59" t="n">
        <x:v>29</x:v>
      </x:c>
    </x:row>
    <x:row r="31">
      <x:c r="A31" s="59" t="n">
        <x:v>2</x:v>
      </x:c>
      <x:c r="B31" s="67" t="str">
        <x:f>_xlfn.IFNA(VLOOKUP(A31,InfoSecThreats!A:B,2,FALSE),"")</x:f>
        <x:v>Software attacks</x:v>
      </x:c>
      <x:c r="C31" s="59" t="n">
        <x:v>2</x:v>
      </x:c>
      <x:c r="D31" s="67" t="str">
        <x:f>_xlfn.IFNA(VLOOKUP(Vulnerabilities!C31,Assets!A:C,2,FALSE),"")</x:f>
        <x:v>Data</x:v>
      </x:c>
      <x:c r="E31" s="67" t="str">
        <x:f>_xlfn.IFNA(VLOOKUP(Vulnerabilities!C31,Assets!A:C,3,FALSE),"")</x:f>
        <x:v>Customer contact information</x:v>
      </x:c>
      <x:c r="F31" s="59" t="n">
        <x:v>1</x:v>
      </x:c>
      <x:c r="G31" s="58" t="str">
        <x:f t="shared" si="0"/>
      </x:c>
      <x:c r="H31" s="59" t="str">
        <x:v>Phishing or malware causes disclosure of customer contact information used for further social engineering.</x:v>
      </x:c>
      <x:c r="I31" s="59" t="str">
        <x:v>Moderate</x:v>
      </x:c>
      <x:c r="J31" s="59" t="str">
        <x:v>Moderate</x:v>
      </x:c>
      <x:c r="K31" s="58" t="str">
        <x:f>_xlfn.IFNA(VLOOKUP(_xlfn.CONCAT(I31,"|",J31),RiskValues!C:D,2,FALSE),"")</x:f>
        <x:v>Moderate</x:v>
      </x:c>
      <x:c r="L31" s="59" t="n">
        <x:v>30</x:v>
      </x:c>
    </x:row>
    <x:row r="32">
      <x:c r="A32"/>
      <x:c r="B32" s="25" t="str">
        <x:f>_xlfn.IFNA(VLOOKUP(A32,InfoSecThreats!A:B,2,FALSE),"")</x:f>
      </x:c>
      <x:c r="C32"/>
      <x:c r="D32" s="25" t="str">
        <x:f>_xlfn.IFNA(VLOOKUP(Vulnerabilities!C32,Assets!A:C,2,FALSE),"")</x:f>
      </x:c>
      <x:c r="E32" s="25" t="str">
        <x:f>_xlfn.IFNA(VLOOKUP(Vulnerabilities!C32,Assets!A:C,3,FALSE),"")</x:f>
      </x:c>
      <x:c r="F32"/>
      <x:c r="G32" s="26" t="str">
        <x:f t="shared" si="0"/>
      </x:c>
      <x:c r="H32"/>
      <x:c r="I32"/>
      <x:c r="J32"/>
      <x:c r="K32" s="26" t="str">
        <x:f>_xlfn.IFNA(VLOOKUP(_xlfn.CONCAT(I32,"|",J32),RiskValues!C:D,2,FALSE),"")</x:f>
      </x:c>
      <x:c r="L32"/>
    </x:row>
    <x:row r="33">
      <x:c r="A33"/>
      <x:c r="B33" s="25" t="str">
        <x:f>_xlfn.IFNA(VLOOKUP(A33,InfoSecThreats!A:B,2,FALSE),"")</x:f>
      </x:c>
      <x:c r="C33"/>
      <x:c r="D33" s="25" t="str">
        <x:f>_xlfn.IFNA(VLOOKUP(Vulnerabilities!C33,Assets!A:C,2,FALSE),"")</x:f>
      </x:c>
      <x:c r="E33" s="25" t="str">
        <x:f>_xlfn.IFNA(VLOOKUP(Vulnerabilities!C33,Assets!A:C,3,FALSE),"")</x:f>
      </x:c>
      <x:c r="F33"/>
      <x:c r="G33" s="26" t="str">
        <x:f t="shared" si="0"/>
      </x:c>
      <x:c r="H33"/>
      <x:c r="I33"/>
      <x:c r="J33"/>
      <x:c r="K33" s="26" t="str">
        <x:f>_xlfn.IFNA(VLOOKUP(_xlfn.CONCAT(I33,"|",J33),RiskValues!C:D,2,FALSE),"")</x:f>
      </x:c>
      <x:c r="L33"/>
    </x:row>
    <x:row r="34">
      <x:c r="A34"/>
      <x:c r="B34" s="25" t="str">
        <x:f>_xlfn.IFNA(VLOOKUP(A34,InfoSecThreats!A:B,2,FALSE),"")</x:f>
      </x:c>
      <x:c r="C34"/>
      <x:c r="D34" s="25" t="str">
        <x:f>_xlfn.IFNA(VLOOKUP(Vulnerabilities!C34,Assets!A:C,2,FALSE),"")</x:f>
      </x:c>
      <x:c r="E34" s="25" t="str">
        <x:f>_xlfn.IFNA(VLOOKUP(Vulnerabilities!C34,Assets!A:C,3,FALSE),"")</x:f>
      </x:c>
      <x:c r="F34"/>
      <x:c r="G34" s="26" t="str">
        <x:f t="shared" si="0"/>
      </x:c>
      <x:c r="H34"/>
      <x:c r="I34"/>
      <x:c r="J34"/>
      <x:c r="K34" s="26" t="str">
        <x:f>_xlfn.IFNA(VLOOKUP(_xlfn.CONCAT(I34,"|",J34),RiskValues!C:D,2,FALSE),"")</x:f>
      </x:c>
      <x:c r="L34"/>
    </x:row>
    <x:row r="35">
      <x:c r="A35"/>
      <x:c r="B35" s="25" t="str">
        <x:f>_xlfn.IFNA(VLOOKUP(A35,InfoSecThreats!A:B,2,FALSE),"")</x:f>
      </x:c>
      <x:c r="C35"/>
      <x:c r="D35" s="25" t="str">
        <x:f>_xlfn.IFNA(VLOOKUP(Vulnerabilities!C35,Assets!A:C,2,FALSE),"")</x:f>
      </x:c>
      <x:c r="E35" s="25" t="str">
        <x:f>_xlfn.IFNA(VLOOKUP(Vulnerabilities!C35,Assets!A:C,3,FALSE),"")</x:f>
      </x:c>
      <x:c r="F35"/>
      <x:c r="G35" s="26" t="str">
        <x:f t="shared" si="0"/>
      </x:c>
      <x:c r="H35"/>
      <x:c r="I35"/>
      <x:c r="J35"/>
      <x:c r="K35" s="26" t="str">
        <x:f>_xlfn.IFNA(VLOOKUP(_xlfn.CONCAT(I35,"|",J35),RiskValues!C:D,2,FALSE),"")</x:f>
      </x:c>
      <x:c r="L35"/>
    </x:row>
    <x:row r="36">
      <x:c r="A36"/>
      <x:c r="B36" s="25" t="str">
        <x:f>_xlfn.IFNA(VLOOKUP(A36,InfoSecThreats!A:B,2,FALSE),"")</x:f>
      </x:c>
      <x:c r="C36"/>
      <x:c r="D36" s="25" t="str">
        <x:f>_xlfn.IFNA(VLOOKUP(Vulnerabilities!C36,Assets!A:C,2,FALSE),"")</x:f>
      </x:c>
      <x:c r="E36" s="25" t="str">
        <x:f>_xlfn.IFNA(VLOOKUP(Vulnerabilities!C36,Assets!A:C,3,FALSE),"")</x:f>
      </x:c>
      <x:c r="F36"/>
      <x:c r="G36" s="26" t="str">
        <x:f t="shared" si="0"/>
      </x:c>
      <x:c r="H36"/>
      <x:c r="I36"/>
      <x:c r="J36"/>
      <x:c r="K36" s="26" t="str">
        <x:f>_xlfn.IFNA(VLOOKUP(_xlfn.CONCAT(I36,"|",J36),RiskValues!C:D,2,FALSE),"")</x:f>
      </x:c>
      <x:c r="L36"/>
    </x:row>
    <x:row r="37">
      <x:c r="A37"/>
      <x:c r="B37" s="25" t="str">
        <x:f>_xlfn.IFNA(VLOOKUP(A37,InfoSecThreats!A:B,2,FALSE),"")</x:f>
      </x:c>
      <x:c r="C37"/>
      <x:c r="D37" s="25" t="str">
        <x:f>_xlfn.IFNA(VLOOKUP(Vulnerabilities!C37,Assets!A:C,2,FALSE),"")</x:f>
      </x:c>
      <x:c r="E37" s="25" t="str">
        <x:f>_xlfn.IFNA(VLOOKUP(Vulnerabilities!C37,Assets!A:C,3,FALSE),"")</x:f>
      </x:c>
      <x:c r="F37"/>
      <x:c r="G37" s="26" t="str">
        <x:f t="shared" si="0"/>
      </x:c>
      <x:c r="H37"/>
      <x:c r="I37"/>
      <x:c r="J37"/>
      <x:c r="K37" s="26" t="str">
        <x:f>_xlfn.IFNA(VLOOKUP(_xlfn.CONCAT(I37,"|",J37),RiskValues!C:D,2,FALSE),"")</x:f>
      </x:c>
      <x:c r="L37"/>
    </x:row>
    <x:row r="38">
      <x:c r="A38"/>
      <x:c r="B38" s="25" t="str">
        <x:f>_xlfn.IFNA(VLOOKUP(A38,InfoSecThreats!A:B,2,FALSE),"")</x:f>
      </x:c>
      <x:c r="C38"/>
      <x:c r="D38" s="25" t="str">
        <x:f>_xlfn.IFNA(VLOOKUP(Vulnerabilities!C38,Assets!A:C,2,FALSE),"")</x:f>
      </x:c>
      <x:c r="E38" s="25" t="str">
        <x:f>_xlfn.IFNA(VLOOKUP(Vulnerabilities!C38,Assets!A:C,3,FALSE),"")</x:f>
      </x:c>
      <x:c r="F38"/>
      <x:c r="G38" s="26" t="str">
        <x:f t="shared" si="0"/>
      </x:c>
      <x:c r="H38"/>
      <x:c r="I38"/>
      <x:c r="J38"/>
      <x:c r="K38" s="26" t="str">
        <x:f>_xlfn.IFNA(VLOOKUP(_xlfn.CONCAT(I38,"|",J38),RiskValues!C:D,2,FALSE),"")</x:f>
      </x:c>
      <x:c r="L38"/>
    </x:row>
    <x:row r="39">
      <x:c r="A39"/>
      <x:c r="B39" s="25" t="str">
        <x:f>_xlfn.IFNA(VLOOKUP(A39,InfoSecThreats!A:B,2,FALSE),"")</x:f>
      </x:c>
      <x:c r="C39"/>
      <x:c r="D39" s="25" t="str">
        <x:f>_xlfn.IFNA(VLOOKUP(Vulnerabilities!C39,Assets!A:C,2,FALSE),"")</x:f>
      </x:c>
      <x:c r="E39" s="25" t="str">
        <x:f>_xlfn.IFNA(VLOOKUP(Vulnerabilities!C39,Assets!A:C,3,FALSE),"")</x:f>
      </x:c>
      <x:c r="F39"/>
      <x:c r="G39" s="26" t="str">
        <x:f t="shared" si="0"/>
      </x:c>
      <x:c r="H39"/>
      <x:c r="I39"/>
      <x:c r="J39"/>
      <x:c r="K39" s="26" t="str">
        <x:f>_xlfn.IFNA(VLOOKUP(_xlfn.CONCAT(I39,"|",J39),RiskValues!C:D,2,FALSE),"")</x:f>
      </x:c>
      <x:c r="L39"/>
    </x:row>
    <x:row r="40">
      <x:c r="A40"/>
      <x:c r="B40" s="25" t="str">
        <x:f>_xlfn.IFNA(VLOOKUP(A40,InfoSecThreats!A:B,2,FALSE),"")</x:f>
      </x:c>
      <x:c r="C40"/>
      <x:c r="D40" s="25" t="str">
        <x:f>_xlfn.IFNA(VLOOKUP(Vulnerabilities!C40,Assets!A:C,2,FALSE),"")</x:f>
      </x:c>
      <x:c r="E40" s="25" t="str">
        <x:f>_xlfn.IFNA(VLOOKUP(Vulnerabilities!C40,Assets!A:C,3,FALSE),"")</x:f>
      </x:c>
      <x:c r="F40"/>
      <x:c r="G40" s="26" t="str">
        <x:f t="shared" si="0"/>
      </x:c>
      <x:c r="H40"/>
      <x:c r="I40"/>
      <x:c r="J40"/>
      <x:c r="K40" s="26" t="str">
        <x:f>_xlfn.IFNA(VLOOKUP(_xlfn.CONCAT(I40,"|",J40),RiskValues!C:D,2,FALSE),"")</x:f>
      </x:c>
      <x:c r="L40"/>
    </x:row>
    <x:row r="41">
      <x:c r="A41"/>
      <x:c r="B41" s="25" t="str">
        <x:f>_xlfn.IFNA(VLOOKUP(A41,InfoSecThreats!A:B,2,FALSE),"")</x:f>
      </x:c>
      <x:c r="C41"/>
      <x:c r="D41" s="25" t="str">
        <x:f>_xlfn.IFNA(VLOOKUP(Vulnerabilities!C41,Assets!A:C,2,FALSE),"")</x:f>
      </x:c>
      <x:c r="E41" s="25" t="str">
        <x:f>_xlfn.IFNA(VLOOKUP(Vulnerabilities!C41,Assets!A:C,3,FALSE),"")</x:f>
      </x:c>
      <x:c r="F41"/>
      <x:c r="G41" s="26" t="str">
        <x:f t="shared" si="0"/>
      </x:c>
      <x:c r="H41"/>
      <x:c r="I41"/>
      <x:c r="J41"/>
      <x:c r="K41" s="26" t="str">
        <x:f>_xlfn.IFNA(VLOOKUP(_xlfn.CONCAT(I41,"|",J41),RiskValues!C:D,2,FALSE),"")</x:f>
      </x:c>
      <x:c r="L41"/>
    </x:row>
    <x:row r="42">
      <x:c r="A42"/>
      <x:c r="B42" s="25" t="str">
        <x:f>_xlfn.IFNA(VLOOKUP(A42,InfoSecThreats!A:B,2,FALSE),"")</x:f>
      </x:c>
      <x:c r="C42"/>
      <x:c r="D42" s="25" t="str">
        <x:f>_xlfn.IFNA(VLOOKUP(Vulnerabilities!C42,Assets!A:C,2,FALSE),"")</x:f>
      </x:c>
      <x:c r="E42" s="25" t="str">
        <x:f>_xlfn.IFNA(VLOOKUP(Vulnerabilities!C42,Assets!A:C,3,FALSE),"")</x:f>
      </x:c>
      <x:c r="F42"/>
      <x:c r="G42" s="26" t="str">
        <x:f t="shared" si="0"/>
      </x:c>
      <x:c r="H42"/>
      <x:c r="I42"/>
      <x:c r="J42"/>
      <x:c r="K42" s="26" t="str">
        <x:f>_xlfn.IFNA(VLOOKUP(_xlfn.CONCAT(I42,"|",J42),RiskValues!C:D,2,FALSE),"")</x:f>
      </x:c>
      <x:c r="L42"/>
    </x:row>
    <x:row r="43">
      <x:c r="A43"/>
      <x:c r="B43" s="25" t="str">
        <x:f>_xlfn.IFNA(VLOOKUP(A43,InfoSecThreats!A:B,2,FALSE),"")</x:f>
      </x:c>
      <x:c r="C43"/>
      <x:c r="D43" s="25" t="str">
        <x:f>_xlfn.IFNA(VLOOKUP(Vulnerabilities!C43,Assets!A:C,2,FALSE),"")</x:f>
      </x:c>
      <x:c r="E43" s="25" t="str">
        <x:f>_xlfn.IFNA(VLOOKUP(Vulnerabilities!C43,Assets!A:C,3,FALSE),"")</x:f>
      </x:c>
      <x:c r="F43"/>
      <x:c r="G43" s="26" t="str">
        <x:f t="shared" si="0"/>
      </x:c>
      <x:c r="H43"/>
      <x:c r="I43"/>
      <x:c r="J43"/>
      <x:c r="K43" s="26" t="str">
        <x:f>_xlfn.IFNA(VLOOKUP(_xlfn.CONCAT(I43,"|",J43),RiskValues!C:D,2,FALSE),"")</x:f>
      </x:c>
      <x:c r="L43"/>
    </x:row>
    <x:row r="44">
      <x:c r="A44"/>
      <x:c r="B44" s="25" t="str">
        <x:f>_xlfn.IFNA(VLOOKUP(A44,InfoSecThreats!A:B,2,FALSE),"")</x:f>
      </x:c>
      <x:c r="C44"/>
      <x:c r="D44" s="25" t="str">
        <x:f>_xlfn.IFNA(VLOOKUP(Vulnerabilities!C44,Assets!A:C,2,FALSE),"")</x:f>
      </x:c>
      <x:c r="E44" s="25" t="str">
        <x:f>_xlfn.IFNA(VLOOKUP(Vulnerabilities!C44,Assets!A:C,3,FALSE),"")</x:f>
      </x:c>
      <x:c r="F44"/>
      <x:c r="G44" s="26" t="str">
        <x:f t="shared" si="0"/>
      </x:c>
      <x:c r="H44"/>
      <x:c r="I44"/>
      <x:c r="J44"/>
      <x:c r="K44" s="26" t="str">
        <x:f>_xlfn.IFNA(VLOOKUP(_xlfn.CONCAT(I44,"|",J44),RiskValues!C:D,2,FALSE),"")</x:f>
      </x:c>
      <x:c r="L44"/>
    </x:row>
    <x:row r="45">
      <x:c r="A45"/>
      <x:c r="B45" s="25" t="str">
        <x:f>_xlfn.IFNA(VLOOKUP(A45,InfoSecThreats!A:B,2,FALSE),"")</x:f>
      </x:c>
      <x:c r="C45"/>
      <x:c r="D45" s="25" t="str">
        <x:f>_xlfn.IFNA(VLOOKUP(Vulnerabilities!C45,Assets!A:C,2,FALSE),"")</x:f>
      </x:c>
      <x:c r="E45" s="25" t="str">
        <x:f>_xlfn.IFNA(VLOOKUP(Vulnerabilities!C45,Assets!A:C,3,FALSE),"")</x:f>
      </x:c>
      <x:c r="F45"/>
      <x:c r="G45" s="26" t="str">
        <x:f t="shared" si="0"/>
      </x:c>
      <x:c r="H45"/>
      <x:c r="I45"/>
      <x:c r="J45"/>
      <x:c r="K45" s="26" t="str">
        <x:f>_xlfn.IFNA(VLOOKUP(_xlfn.CONCAT(I45,"|",J45),RiskValues!C:D,2,FALSE),"")</x:f>
      </x:c>
      <x:c r="L45"/>
    </x:row>
    <x:row r="46">
      <x:c r="A46"/>
      <x:c r="B46" s="25" t="str">
        <x:f>_xlfn.IFNA(VLOOKUP(A46,InfoSecThreats!A:B,2,FALSE),"")</x:f>
      </x:c>
      <x:c r="C46"/>
      <x:c r="D46" s="25" t="str">
        <x:f>_xlfn.IFNA(VLOOKUP(Vulnerabilities!C46,Assets!A:C,2,FALSE),"")</x:f>
      </x:c>
      <x:c r="E46" s="25" t="str">
        <x:f>_xlfn.IFNA(VLOOKUP(Vulnerabilities!C46,Assets!A:C,3,FALSE),"")</x:f>
      </x:c>
      <x:c r="F46"/>
      <x:c r="G46" s="26" t="str">
        <x:f t="shared" si="0"/>
      </x:c>
      <x:c r="H46"/>
      <x:c r="I46"/>
      <x:c r="J46"/>
      <x:c r="K46" s="26" t="str">
        <x:f>_xlfn.IFNA(VLOOKUP(_xlfn.CONCAT(I46,"|",J46),RiskValues!C:D,2,FALSE),"")</x:f>
      </x:c>
      <x:c r="L46"/>
    </x:row>
    <x:row r="47">
      <x:c r="A47"/>
      <x:c r="B47" s="25" t="str">
        <x:f>_xlfn.IFNA(VLOOKUP(A47,InfoSecThreats!A:B,2,FALSE),"")</x:f>
      </x:c>
      <x:c r="C47"/>
      <x:c r="D47" s="25" t="str">
        <x:f>_xlfn.IFNA(VLOOKUP(Vulnerabilities!C47,Assets!A:C,2,FALSE),"")</x:f>
      </x:c>
      <x:c r="E47" s="25" t="str">
        <x:f>_xlfn.IFNA(VLOOKUP(Vulnerabilities!C47,Assets!A:C,3,FALSE),"")</x:f>
      </x:c>
      <x:c r="F47"/>
      <x:c r="G47" s="26" t="str">
        <x:f t="shared" si="0"/>
      </x:c>
      <x:c r="H47"/>
      <x:c r="I47"/>
      <x:c r="J47"/>
      <x:c r="K47" s="26" t="str">
        <x:f>_xlfn.IFNA(VLOOKUP(_xlfn.CONCAT(I47,"|",J47),RiskValues!C:D,2,FALSE),"")</x:f>
      </x:c>
      <x:c r="L47"/>
    </x:row>
    <x:row r="48">
      <x:c r="A48"/>
      <x:c r="B48" s="25" t="str">
        <x:f>_xlfn.IFNA(VLOOKUP(A48,InfoSecThreats!A:B,2,FALSE),"")</x:f>
      </x:c>
      <x:c r="C48"/>
      <x:c r="D48" s="25" t="str">
        <x:f>_xlfn.IFNA(VLOOKUP(Vulnerabilities!C48,Assets!A:C,2,FALSE),"")</x:f>
      </x:c>
      <x:c r="E48" s="25" t="str">
        <x:f>_xlfn.IFNA(VLOOKUP(Vulnerabilities!C48,Assets!A:C,3,FALSE),"")</x:f>
      </x:c>
      <x:c r="F48"/>
      <x:c r="G48" s="26" t="str">
        <x:f t="shared" si="0"/>
      </x:c>
      <x:c r="H48"/>
      <x:c r="I48"/>
      <x:c r="J48"/>
      <x:c r="K48" s="26" t="str">
        <x:f>_xlfn.IFNA(VLOOKUP(_xlfn.CONCAT(I48,"|",J48),RiskValues!C:D,2,FALSE),"")</x:f>
      </x:c>
      <x:c r="L48"/>
    </x:row>
    <x:row r="49">
      <x:c r="A49"/>
      <x:c r="B49" s="25" t="str">
        <x:f>_xlfn.IFNA(VLOOKUP(A49,InfoSecThreats!A:B,2,FALSE),"")</x:f>
      </x:c>
      <x:c r="C49"/>
      <x:c r="D49" s="25" t="str">
        <x:f>_xlfn.IFNA(VLOOKUP(Vulnerabilities!C49,Assets!A:C,2,FALSE),"")</x:f>
      </x:c>
      <x:c r="E49" s="25" t="str">
        <x:f>_xlfn.IFNA(VLOOKUP(Vulnerabilities!C49,Assets!A:C,3,FALSE),"")</x:f>
      </x:c>
      <x:c r="F49"/>
      <x:c r="G49" s="26" t="str">
        <x:f t="shared" si="0"/>
      </x:c>
      <x:c r="H49"/>
      <x:c r="I49"/>
      <x:c r="J49"/>
      <x:c r="K49" s="26" t="str">
        <x:f>_xlfn.IFNA(VLOOKUP(_xlfn.CONCAT(I49,"|",J49),RiskValues!C:D,2,FALSE),"")</x:f>
      </x:c>
      <x:c r="L49"/>
    </x:row>
    <x:row r="50">
      <x:c r="A50"/>
      <x:c r="B50" s="25" t="str">
        <x:f>_xlfn.IFNA(VLOOKUP(A50,InfoSecThreats!A:B,2,FALSE),"")</x:f>
      </x:c>
      <x:c r="C50"/>
      <x:c r="D50" s="25" t="str">
        <x:f>_xlfn.IFNA(VLOOKUP(Vulnerabilities!C50,Assets!A:C,2,FALSE),"")</x:f>
      </x:c>
      <x:c r="E50" s="25" t="str">
        <x:f>_xlfn.IFNA(VLOOKUP(Vulnerabilities!C50,Assets!A:C,3,FALSE),"")</x:f>
      </x:c>
      <x:c r="F50"/>
      <x:c r="G50" s="26" t="str">
        <x:f t="shared" si="0"/>
      </x:c>
      <x:c r="H50"/>
      <x:c r="I50"/>
      <x:c r="J50"/>
      <x:c r="K50" s="26" t="str">
        <x:f>_xlfn.IFNA(VLOOKUP(_xlfn.CONCAT(I50,"|",J50),RiskValues!C:D,2,FALSE),"")</x:f>
      </x:c>
      <x:c r="L50"/>
    </x:row>
    <x:row r="51">
      <x:c r="A51"/>
      <x:c r="B51" s="25" t="str">
        <x:f>_xlfn.IFNA(VLOOKUP(A51,InfoSecThreats!A:B,2,FALSE),"")</x:f>
      </x:c>
      <x:c r="C51"/>
      <x:c r="D51" s="25" t="str">
        <x:f>_xlfn.IFNA(VLOOKUP(Vulnerabilities!C51,Assets!A:C,2,FALSE),"")</x:f>
      </x:c>
      <x:c r="E51" s="25" t="str">
        <x:f>_xlfn.IFNA(VLOOKUP(Vulnerabilities!C51,Assets!A:C,3,FALSE),"")</x:f>
      </x:c>
      <x:c r="F51"/>
      <x:c r="G51" s="26" t="str">
        <x:f t="shared" si="0"/>
      </x:c>
      <x:c r="H51"/>
      <x:c r="I51"/>
      <x:c r="J51"/>
      <x:c r="K51" s="26" t="str">
        <x:f>_xlfn.IFNA(VLOOKUP(_xlfn.CONCAT(I51,"|",J51),RiskValues!C:D,2,FALSE),"")</x:f>
      </x:c>
      <x:c r="L51"/>
    </x:row>
    <x:row r="52">
      <x:c r="A52"/>
      <x:c r="B52" s="25" t="str">
        <x:f>_xlfn.IFNA(VLOOKUP(A52,InfoSecThreats!A:B,2,FALSE),"")</x:f>
      </x:c>
      <x:c r="C52"/>
      <x:c r="D52" s="25" t="str">
        <x:f>_xlfn.IFNA(VLOOKUP(Vulnerabilities!C52,Assets!A:C,2,FALSE),"")</x:f>
      </x:c>
      <x:c r="E52" s="25" t="str">
        <x:f>_xlfn.IFNA(VLOOKUP(Vulnerabilities!C52,Assets!A:C,3,FALSE),"")</x:f>
      </x:c>
      <x:c r="F52"/>
      <x:c r="G52" s="26" t="str">
        <x:f t="shared" si="0"/>
      </x:c>
      <x:c r="H52"/>
      <x:c r="I52"/>
      <x:c r="J52"/>
      <x:c r="K52" s="26" t="str">
        <x:f>_xlfn.IFNA(VLOOKUP(_xlfn.CONCAT(I52,"|",J52),RiskValues!C:D,2,FALSE),"")</x:f>
      </x:c>
      <x:c r="L52"/>
    </x:row>
    <x:row r="53">
      <x:c r="A53"/>
      <x:c r="B53" s="25" t="str">
        <x:f>_xlfn.IFNA(VLOOKUP(A53,InfoSecThreats!A:B,2,FALSE),"")</x:f>
      </x:c>
      <x:c r="C53"/>
      <x:c r="D53" s="25" t="str">
        <x:f>_xlfn.IFNA(VLOOKUP(Vulnerabilities!C53,Assets!A:C,2,FALSE),"")</x:f>
      </x:c>
      <x:c r="E53" s="25" t="str">
        <x:f>_xlfn.IFNA(VLOOKUP(Vulnerabilities!C53,Assets!A:C,3,FALSE),"")</x:f>
      </x:c>
      <x:c r="F53"/>
      <x:c r="G53" s="26" t="str">
        <x:f t="shared" si="0"/>
      </x:c>
      <x:c r="H53"/>
      <x:c r="I53"/>
      <x:c r="J53"/>
      <x:c r="K53" s="26" t="str">
        <x:f>_xlfn.IFNA(VLOOKUP(_xlfn.CONCAT(I53,"|",J53),RiskValues!C:D,2,FALSE),"")</x:f>
      </x:c>
      <x:c r="L53"/>
    </x:row>
    <x:row r="54">
      <x:c r="A54"/>
      <x:c r="B54" s="25" t="str">
        <x:f>_xlfn.IFNA(VLOOKUP(A54,InfoSecThreats!A:B,2,FALSE),"")</x:f>
      </x:c>
      <x:c r="C54"/>
      <x:c r="D54" s="25" t="str">
        <x:f>_xlfn.IFNA(VLOOKUP(Vulnerabilities!C54,Assets!A:C,2,FALSE),"")</x:f>
      </x:c>
      <x:c r="E54" s="25" t="str">
        <x:f>_xlfn.IFNA(VLOOKUP(Vulnerabilities!C54,Assets!A:C,3,FALSE),"")</x:f>
      </x:c>
      <x:c r="F54"/>
      <x:c r="G54" s="26" t="str">
        <x:f t="shared" si="0"/>
      </x:c>
      <x:c r="H54"/>
      <x:c r="I54"/>
      <x:c r="J54"/>
      <x:c r="K54" s="26" t="str">
        <x:f>_xlfn.IFNA(VLOOKUP(_xlfn.CONCAT(I54,"|",J54),RiskValues!C:D,2,FALSE),"")</x:f>
      </x:c>
      <x:c r="L54"/>
    </x:row>
    <x:row r="55">
      <x:c r="A55"/>
      <x:c r="B55" s="25" t="str">
        <x:f>_xlfn.IFNA(VLOOKUP(A55,InfoSecThreats!A:B,2,FALSE),"")</x:f>
      </x:c>
      <x:c r="C55"/>
      <x:c r="D55" s="25" t="str">
        <x:f>_xlfn.IFNA(VLOOKUP(Vulnerabilities!C55,Assets!A:C,2,FALSE),"")</x:f>
      </x:c>
      <x:c r="E55" s="25" t="str">
        <x:f>_xlfn.IFNA(VLOOKUP(Vulnerabilities!C55,Assets!A:C,3,FALSE),"")</x:f>
      </x:c>
      <x:c r="F55"/>
      <x:c r="G55" s="26" t="str">
        <x:f t="shared" si="0"/>
      </x:c>
      <x:c r="H55"/>
      <x:c r="I55"/>
      <x:c r="J55"/>
      <x:c r="K55" s="26" t="str">
        <x:f>_xlfn.IFNA(VLOOKUP(_xlfn.CONCAT(I55,"|",J55),RiskValues!C:D,2,FALSE),"")</x:f>
      </x:c>
      <x:c r="L55"/>
    </x:row>
    <x:row r="56">
      <x:c r="A56"/>
      <x:c r="B56" s="25" t="str">
        <x:f>_xlfn.IFNA(VLOOKUP(A56,InfoSecThreats!A:B,2,FALSE),"")</x:f>
      </x:c>
      <x:c r="C56"/>
      <x:c r="D56" s="25" t="str">
        <x:f>_xlfn.IFNA(VLOOKUP(Vulnerabilities!C56,Assets!A:C,2,FALSE),"")</x:f>
      </x:c>
      <x:c r="E56" s="25" t="str">
        <x:f>_xlfn.IFNA(VLOOKUP(Vulnerabilities!C56,Assets!A:C,3,FALSE),"")</x:f>
      </x:c>
      <x:c r="F56"/>
      <x:c r="G56" s="26" t="str">
        <x:f t="shared" si="0"/>
      </x:c>
      <x:c r="H56"/>
      <x:c r="I56"/>
      <x:c r="J56"/>
      <x:c r="K56" s="26" t="str">
        <x:f>_xlfn.IFNA(VLOOKUP(_xlfn.CONCAT(I56,"|",J56),RiskValues!C:D,2,FALSE),"")</x:f>
      </x:c>
      <x:c r="L56"/>
    </x:row>
    <x:row r="57">
      <x:c r="A57"/>
      <x:c r="B57" s="25" t="str">
        <x:f>_xlfn.IFNA(VLOOKUP(A57,InfoSecThreats!A:B,2,FALSE),"")</x:f>
      </x:c>
      <x:c r="C57"/>
      <x:c r="D57" s="25" t="str">
        <x:f>_xlfn.IFNA(VLOOKUP(Vulnerabilities!C57,Assets!A:C,2,FALSE),"")</x:f>
      </x:c>
      <x:c r="E57" s="25" t="str">
        <x:f>_xlfn.IFNA(VLOOKUP(Vulnerabilities!C57,Assets!A:C,3,FALSE),"")</x:f>
      </x:c>
      <x:c r="F57"/>
      <x:c r="G57" s="26" t="str">
        <x:f t="shared" si="0"/>
      </x:c>
      <x:c r="H57"/>
      <x:c r="I57"/>
      <x:c r="J57"/>
      <x:c r="K57" s="26" t="str">
        <x:f>_xlfn.IFNA(VLOOKUP(_xlfn.CONCAT(I57,"|",J57),RiskValues!C:D,2,FALSE),"")</x:f>
      </x:c>
      <x:c r="L57"/>
    </x:row>
    <x:row r="58">
      <x:c r="A58"/>
      <x:c r="B58" s="25" t="str">
        <x:f>_xlfn.IFNA(VLOOKUP(A58,InfoSecThreats!A:B,2,FALSE),"")</x:f>
      </x:c>
      <x:c r="C58"/>
      <x:c r="D58" s="25" t="str">
        <x:f>_xlfn.IFNA(VLOOKUP(Vulnerabilities!C58,Assets!A:C,2,FALSE),"")</x:f>
      </x:c>
      <x:c r="E58" s="25" t="str">
        <x:f>_xlfn.IFNA(VLOOKUP(Vulnerabilities!C58,Assets!A:C,3,FALSE),"")</x:f>
      </x:c>
      <x:c r="F58"/>
      <x:c r="G58" s="26" t="str">
        <x:f t="shared" si="0"/>
      </x:c>
      <x:c r="H58"/>
      <x:c r="I58"/>
      <x:c r="J58"/>
      <x:c r="K58" s="26" t="str">
        <x:f>_xlfn.IFNA(VLOOKUP(_xlfn.CONCAT(I58,"|",J58),RiskValues!C:D,2,FALSE),"")</x:f>
      </x:c>
      <x:c r="L58"/>
    </x:row>
    <x:row r="59">
      <x:c r="A59"/>
      <x:c r="B59" s="25" t="str">
        <x:f>_xlfn.IFNA(VLOOKUP(A59,InfoSecThreats!A:B,2,FALSE),"")</x:f>
      </x:c>
      <x:c r="C59"/>
      <x:c r="D59" s="25" t="str">
        <x:f>_xlfn.IFNA(VLOOKUP(Vulnerabilities!C59,Assets!A:C,2,FALSE),"")</x:f>
      </x:c>
      <x:c r="E59" s="25" t="str">
        <x:f>_xlfn.IFNA(VLOOKUP(Vulnerabilities!C59,Assets!A:C,3,FALSE),"")</x:f>
      </x:c>
      <x:c r="F59"/>
      <x:c r="G59" s="26" t="str">
        <x:f t="shared" si="0"/>
      </x:c>
      <x:c r="H59"/>
      <x:c r="I59"/>
      <x:c r="J59"/>
      <x:c r="K59" s="26" t="str">
        <x:f>_xlfn.IFNA(VLOOKUP(_xlfn.CONCAT(I59,"|",J59),RiskValues!C:D,2,FALSE),"")</x:f>
      </x:c>
      <x:c r="L59"/>
    </x:row>
    <x:row r="60">
      <x:c r="A60"/>
      <x:c r="B60" s="25" t="str">
        <x:f>_xlfn.IFNA(VLOOKUP(A60,InfoSecThreats!A:B,2,FALSE),"")</x:f>
      </x:c>
      <x:c r="C60"/>
      <x:c r="D60" s="25" t="str">
        <x:f>_xlfn.IFNA(VLOOKUP(Vulnerabilities!C60,Assets!A:C,2,FALSE),"")</x:f>
      </x:c>
      <x:c r="E60" s="25" t="str">
        <x:f>_xlfn.IFNA(VLOOKUP(Vulnerabilities!C60,Assets!A:C,3,FALSE),"")</x:f>
      </x:c>
      <x:c r="F60"/>
      <x:c r="G60" s="26" t="str">
        <x:f t="shared" si="0"/>
      </x:c>
      <x:c r="H60"/>
      <x:c r="I60"/>
      <x:c r="J60"/>
      <x:c r="K60" s="26" t="str">
        <x:f>_xlfn.IFNA(VLOOKUP(_xlfn.CONCAT(I60,"|",J60),RiskValues!C:D,2,FALSE),"")</x:f>
      </x:c>
      <x:c r="L60"/>
    </x:row>
    <x:row r="61">
      <x:c r="A61"/>
      <x:c r="B61" s="25" t="str">
        <x:f>_xlfn.IFNA(VLOOKUP(A61,InfoSecThreats!A:B,2,FALSE),"")</x:f>
      </x:c>
      <x:c r="C61"/>
      <x:c r="D61" s="25" t="str">
        <x:f>_xlfn.IFNA(VLOOKUP(Vulnerabilities!C61,Assets!A:C,2,FALSE),"")</x:f>
      </x:c>
      <x:c r="E61" s="25" t="str">
        <x:f>_xlfn.IFNA(VLOOKUP(Vulnerabilities!C61,Assets!A:C,3,FALSE),"")</x:f>
      </x:c>
      <x:c r="F61"/>
      <x:c r="G61" s="26" t="str">
        <x:f t="shared" si="0"/>
      </x:c>
      <x:c r="H61"/>
      <x:c r="I61"/>
      <x:c r="J61"/>
      <x:c r="K61" s="26" t="str">
        <x:f>_xlfn.IFNA(VLOOKUP(_xlfn.CONCAT(I61,"|",J61),RiskValues!C:D,2,FALSE),"")</x:f>
      </x:c>
      <x:c r="L61"/>
    </x:row>
    <x:row r="62">
      <x:c r="A62"/>
      <x:c r="B62" s="25" t="str">
        <x:f>_xlfn.IFNA(VLOOKUP(A62,InfoSecThreats!A:B,2,FALSE),"")</x:f>
      </x:c>
      <x:c r="C62"/>
      <x:c r="D62" s="25" t="str">
        <x:f>_xlfn.IFNA(VLOOKUP(Vulnerabilities!C62,Assets!A:C,2,FALSE),"")</x:f>
      </x:c>
      <x:c r="E62" s="25" t="str">
        <x:f>_xlfn.IFNA(VLOOKUP(Vulnerabilities!C62,Assets!A:C,3,FALSE),"")</x:f>
      </x:c>
      <x:c r="F62"/>
      <x:c r="G62" s="26" t="str">
        <x:f t="shared" si="0"/>
      </x:c>
      <x:c r="H62"/>
      <x:c r="I62"/>
      <x:c r="J62"/>
      <x:c r="K62" s="26" t="str">
        <x:f>_xlfn.IFNA(VLOOKUP(_xlfn.CONCAT(I62,"|",J62),RiskValues!C:D,2,FALSE),"")</x:f>
      </x:c>
      <x:c r="L62"/>
    </x:row>
    <x:row r="63">
      <x:c r="A63"/>
      <x:c r="B63" s="25" t="str">
        <x:f>_xlfn.IFNA(VLOOKUP(A63,InfoSecThreats!A:B,2,FALSE),"")</x:f>
      </x:c>
      <x:c r="C63"/>
      <x:c r="D63" s="25" t="str">
        <x:f>_xlfn.IFNA(VLOOKUP(Vulnerabilities!C63,Assets!A:C,2,FALSE),"")</x:f>
      </x:c>
      <x:c r="E63" s="25" t="str">
        <x:f>_xlfn.IFNA(VLOOKUP(Vulnerabilities!C63,Assets!A:C,3,FALSE),"")</x:f>
      </x:c>
      <x:c r="F63"/>
      <x:c r="G63" s="26" t="str">
        <x:f t="shared" si="0"/>
      </x:c>
      <x:c r="H63"/>
      <x:c r="I63"/>
      <x:c r="J63"/>
      <x:c r="K63" s="26" t="str">
        <x:f>_xlfn.IFNA(VLOOKUP(_xlfn.CONCAT(I63,"|",J63),RiskValues!C:D,2,FALSE),"")</x:f>
      </x:c>
      <x:c r="L63"/>
    </x:row>
    <x:row r="64">
      <x:c r="A64"/>
      <x:c r="B64" s="25" t="str">
        <x:f>_xlfn.IFNA(VLOOKUP(A64,InfoSecThreats!A:B,2,FALSE),"")</x:f>
      </x:c>
      <x:c r="C64"/>
      <x:c r="D64" s="25" t="str">
        <x:f>_xlfn.IFNA(VLOOKUP(Vulnerabilities!C64,Assets!A:C,2,FALSE),"")</x:f>
      </x:c>
      <x:c r="E64" s="25" t="str">
        <x:f>_xlfn.IFNA(VLOOKUP(Vulnerabilities!C64,Assets!A:C,3,FALSE),"")</x:f>
      </x:c>
      <x:c r="F64"/>
      <x:c r="G64" s="26" t="str">
        <x:f t="shared" si="0"/>
      </x:c>
      <x:c r="H64"/>
      <x:c r="I64"/>
      <x:c r="J64"/>
      <x:c r="K64" s="26" t="str">
        <x:f>_xlfn.IFNA(VLOOKUP(_xlfn.CONCAT(I64,"|",J64),RiskValues!C:D,2,FALSE),"")</x:f>
      </x:c>
      <x:c r="L64"/>
    </x:row>
    <x:row r="65">
      <x:c r="A65"/>
      <x:c r="B65" s="25" t="str">
        <x:f>_xlfn.IFNA(VLOOKUP(A65,InfoSecThreats!A:B,2,FALSE),"")</x:f>
      </x:c>
      <x:c r="C65"/>
      <x:c r="D65" s="25" t="str">
        <x:f>_xlfn.IFNA(VLOOKUP(Vulnerabilities!C65,Assets!A:C,2,FALSE),"")</x:f>
      </x:c>
      <x:c r="E65" s="25" t="str">
        <x:f>_xlfn.IFNA(VLOOKUP(Vulnerabilities!C65,Assets!A:C,3,FALSE),"")</x:f>
      </x:c>
      <x:c r="F65"/>
      <x:c r="G65" s="26" t="str">
        <x:f t="shared" si="0"/>
      </x:c>
      <x:c r="H65"/>
      <x:c r="I65"/>
      <x:c r="J65"/>
      <x:c r="K65" s="26" t="str">
        <x:f>_xlfn.IFNA(VLOOKUP(_xlfn.CONCAT(I65,"|",J65),RiskValues!C:D,2,FALSE),"")</x:f>
      </x:c>
      <x:c r="L65"/>
    </x:row>
    <x:row r="66">
      <x:c r="A66"/>
      <x:c r="B66" s="25" t="str">
        <x:f>_xlfn.IFNA(VLOOKUP(A66,InfoSecThreats!A:B,2,FALSE),"")</x:f>
      </x:c>
      <x:c r="C66"/>
      <x:c r="D66" s="25" t="str">
        <x:f>_xlfn.IFNA(VLOOKUP(Vulnerabilities!C66,Assets!A:C,2,FALSE),"")</x:f>
      </x:c>
      <x:c r="E66" s="25" t="str">
        <x:f>_xlfn.IFNA(VLOOKUP(Vulnerabilities!C66,Assets!A:C,3,FALSE),"")</x:f>
      </x:c>
      <x:c r="F66"/>
      <x:c r="G66" s="26" t="str">
        <x:f t="shared" si="0"/>
      </x:c>
      <x:c r="H66"/>
      <x:c r="I66"/>
      <x:c r="J66"/>
      <x:c r="K66" s="26" t="str">
        <x:f>_xlfn.IFNA(VLOOKUP(_xlfn.CONCAT(I66,"|",J66),RiskValues!C:D,2,FALSE),"")</x:f>
      </x:c>
      <x:c r="L66"/>
    </x:row>
    <x:row r="67">
      <x:c r="A67"/>
      <x:c r="B67" s="25" t="str">
        <x:f>_xlfn.IFNA(VLOOKUP(A67,InfoSecThreats!A:B,2,FALSE),"")</x:f>
      </x:c>
      <x:c r="C67"/>
      <x:c r="D67" s="25" t="str">
        <x:f>_xlfn.IFNA(VLOOKUP(Vulnerabilities!C67,Assets!A:C,2,FALSE),"")</x:f>
      </x:c>
      <x:c r="E67" s="25" t="str">
        <x:f>_xlfn.IFNA(VLOOKUP(Vulnerabilities!C67,Assets!A:C,3,FALSE),"")</x:f>
      </x:c>
      <x:c r="F67"/>
      <x:c r="G67" s="26" t="str">
        <x:f t="shared" ref="G67:G130" si="1">IF(ISBLANK(F67),"",_xlfn.CONCAT("T",A67,"V",F67,"A",C67))</x:f>
      </x:c>
      <x:c r="H67"/>
      <x:c r="I67"/>
      <x:c r="J67"/>
      <x:c r="K67" s="26" t="str">
        <x:f>_xlfn.IFNA(VLOOKUP(_xlfn.CONCAT(I67,"|",J67),RiskValues!C:D,2,FALSE),"")</x:f>
      </x:c>
      <x:c r="L67"/>
    </x:row>
    <x:row r="68">
      <x:c r="A68"/>
      <x:c r="B68" s="25" t="str">
        <x:f>_xlfn.IFNA(VLOOKUP(A68,InfoSecThreats!A:B,2,FALSE),"")</x:f>
      </x:c>
      <x:c r="C68"/>
      <x:c r="D68" s="25" t="str">
        <x:f>_xlfn.IFNA(VLOOKUP(Vulnerabilities!C68,Assets!A:C,2,FALSE),"")</x:f>
      </x:c>
      <x:c r="E68" s="25" t="str">
        <x:f>_xlfn.IFNA(VLOOKUP(Vulnerabilities!C68,Assets!A:C,3,FALSE),"")</x:f>
      </x:c>
      <x:c r="F68"/>
      <x:c r="G68" s="26" t="str">
        <x:f t="shared" si="1"/>
      </x:c>
      <x:c r="H68"/>
      <x:c r="I68"/>
      <x:c r="J68"/>
      <x:c r="K68" s="26" t="str">
        <x:f>_xlfn.IFNA(VLOOKUP(_xlfn.CONCAT(I68,"|",J68),RiskValues!C:D,2,FALSE),"")</x:f>
      </x:c>
      <x:c r="L68"/>
    </x:row>
    <x:row r="69">
      <x:c r="A69"/>
      <x:c r="B69" s="25" t="str">
        <x:f>_xlfn.IFNA(VLOOKUP(A69,InfoSecThreats!A:B,2,FALSE),"")</x:f>
      </x:c>
      <x:c r="C69"/>
      <x:c r="D69" s="25" t="str">
        <x:f>_xlfn.IFNA(VLOOKUP(Vulnerabilities!C69,Assets!A:C,2,FALSE),"")</x:f>
      </x:c>
      <x:c r="E69" s="25" t="str">
        <x:f>_xlfn.IFNA(VLOOKUP(Vulnerabilities!C69,Assets!A:C,3,FALSE),"")</x:f>
      </x:c>
      <x:c r="F69"/>
      <x:c r="G69" s="26" t="str">
        <x:f t="shared" si="1"/>
      </x:c>
      <x:c r="H69"/>
      <x:c r="I69"/>
      <x:c r="J69"/>
      <x:c r="K69" s="26" t="str">
        <x:f>_xlfn.IFNA(VLOOKUP(_xlfn.CONCAT(I69,"|",J69),RiskValues!C:D,2,FALSE),"")</x:f>
      </x:c>
      <x:c r="L69"/>
    </x:row>
    <x:row r="70">
      <x:c r="A70"/>
      <x:c r="B70" s="25" t="str">
        <x:f>_xlfn.IFNA(VLOOKUP(A70,InfoSecThreats!A:B,2,FALSE),"")</x:f>
      </x:c>
      <x:c r="C70"/>
      <x:c r="D70" s="25" t="str">
        <x:f>_xlfn.IFNA(VLOOKUP(Vulnerabilities!C70,Assets!A:C,2,FALSE),"")</x:f>
      </x:c>
      <x:c r="E70" s="25" t="str">
        <x:f>_xlfn.IFNA(VLOOKUP(Vulnerabilities!C70,Assets!A:C,3,FALSE),"")</x:f>
      </x:c>
      <x:c r="F70"/>
      <x:c r="G70" s="26" t="str">
        <x:f t="shared" si="1"/>
      </x:c>
      <x:c r="H70"/>
      <x:c r="I70"/>
      <x:c r="J70"/>
      <x:c r="K70" s="26" t="str">
        <x:f>_xlfn.IFNA(VLOOKUP(_xlfn.CONCAT(I70,"|",J70),RiskValues!C:D,2,FALSE),"")</x:f>
      </x:c>
      <x:c r="L70"/>
    </x:row>
    <x:row r="71">
      <x:c r="A71"/>
      <x:c r="B71" s="25" t="str">
        <x:f>_xlfn.IFNA(VLOOKUP(A71,InfoSecThreats!A:B,2,FALSE),"")</x:f>
      </x:c>
      <x:c r="C71"/>
      <x:c r="D71" s="25" t="str">
        <x:f>_xlfn.IFNA(VLOOKUP(Vulnerabilities!C71,Assets!A:C,2,FALSE),"")</x:f>
      </x:c>
      <x:c r="E71" s="25" t="str">
        <x:f>_xlfn.IFNA(VLOOKUP(Vulnerabilities!C71,Assets!A:C,3,FALSE),"")</x:f>
      </x:c>
      <x:c r="F71"/>
      <x:c r="G71" s="26" t="str">
        <x:f t="shared" si="1"/>
      </x:c>
      <x:c r="H71"/>
      <x:c r="I71"/>
      <x:c r="J71"/>
      <x:c r="K71" s="26" t="str">
        <x:f>_xlfn.IFNA(VLOOKUP(_xlfn.CONCAT(I71,"|",J71),RiskValues!C:D,2,FALSE),"")</x:f>
      </x:c>
      <x:c r="L71"/>
    </x:row>
    <x:row r="72">
      <x:c r="A72"/>
      <x:c r="B72" s="25" t="str">
        <x:f>_xlfn.IFNA(VLOOKUP(A72,InfoSecThreats!A:B,2,FALSE),"")</x:f>
      </x:c>
      <x:c r="C72"/>
      <x:c r="D72" s="25" t="str">
        <x:f>_xlfn.IFNA(VLOOKUP(Vulnerabilities!C72,Assets!A:C,2,FALSE),"")</x:f>
      </x:c>
      <x:c r="E72" s="25" t="str">
        <x:f>_xlfn.IFNA(VLOOKUP(Vulnerabilities!C72,Assets!A:C,3,FALSE),"")</x:f>
      </x:c>
      <x:c r="F72"/>
      <x:c r="G72" s="26" t="str">
        <x:f t="shared" si="1"/>
      </x:c>
      <x:c r="H72"/>
      <x:c r="I72"/>
      <x:c r="J72"/>
      <x:c r="K72" s="26" t="str">
        <x:f>_xlfn.IFNA(VLOOKUP(_xlfn.CONCAT(I72,"|",J72),RiskValues!C:D,2,FALSE),"")</x:f>
      </x:c>
      <x:c r="L72"/>
    </x:row>
    <x:row r="73">
      <x:c r="A73"/>
      <x:c r="B73" s="25" t="str">
        <x:f>_xlfn.IFNA(VLOOKUP(A73,InfoSecThreats!A:B,2,FALSE),"")</x:f>
      </x:c>
      <x:c r="C73"/>
      <x:c r="D73" s="25" t="str">
        <x:f>_xlfn.IFNA(VLOOKUP(Vulnerabilities!C73,Assets!A:C,2,FALSE),"")</x:f>
      </x:c>
      <x:c r="E73" s="25" t="str">
        <x:f>_xlfn.IFNA(VLOOKUP(Vulnerabilities!C73,Assets!A:C,3,FALSE),"")</x:f>
      </x:c>
      <x:c r="F73"/>
      <x:c r="G73" s="26" t="str">
        <x:f t="shared" si="1"/>
      </x:c>
      <x:c r="H73"/>
      <x:c r="I73"/>
      <x:c r="J73"/>
      <x:c r="K73" s="26" t="str">
        <x:f>_xlfn.IFNA(VLOOKUP(_xlfn.CONCAT(I73,"|",J73),RiskValues!C:D,2,FALSE),"")</x:f>
      </x:c>
      <x:c r="L73"/>
    </x:row>
    <x:row r="74">
      <x:c r="A74"/>
      <x:c r="B74" s="25" t="str">
        <x:f>_xlfn.IFNA(VLOOKUP(A74,InfoSecThreats!A:B,2,FALSE),"")</x:f>
      </x:c>
      <x:c r="C74"/>
      <x:c r="D74" s="25" t="str">
        <x:f>_xlfn.IFNA(VLOOKUP(Vulnerabilities!C74,Assets!A:C,2,FALSE),"")</x:f>
      </x:c>
      <x:c r="E74" s="25" t="str">
        <x:f>_xlfn.IFNA(VLOOKUP(Vulnerabilities!C74,Assets!A:C,3,FALSE),"")</x:f>
      </x:c>
      <x:c r="F74"/>
      <x:c r="G74" s="26" t="str">
        <x:f t="shared" si="1"/>
      </x:c>
      <x:c r="H74"/>
      <x:c r="I74"/>
      <x:c r="J74"/>
      <x:c r="K74" s="26" t="str">
        <x:f>_xlfn.IFNA(VLOOKUP(_xlfn.CONCAT(I74,"|",J74),RiskValues!C:D,2,FALSE),"")</x:f>
      </x:c>
      <x:c r="L74"/>
    </x:row>
    <x:row r="75">
      <x:c r="A75"/>
      <x:c r="B75" s="25" t="str">
        <x:f>_xlfn.IFNA(VLOOKUP(A75,InfoSecThreats!A:B,2,FALSE),"")</x:f>
      </x:c>
      <x:c r="C75"/>
      <x:c r="D75" s="25" t="str">
        <x:f>_xlfn.IFNA(VLOOKUP(Vulnerabilities!C75,Assets!A:C,2,FALSE),"")</x:f>
      </x:c>
      <x:c r="E75" s="25" t="str">
        <x:f>_xlfn.IFNA(VLOOKUP(Vulnerabilities!C75,Assets!A:C,3,FALSE),"")</x:f>
      </x:c>
      <x:c r="F75"/>
      <x:c r="G75" s="26" t="str">
        <x:f t="shared" si="1"/>
      </x:c>
      <x:c r="H75"/>
      <x:c r="I75"/>
      <x:c r="J75"/>
      <x:c r="K75" s="26" t="str">
        <x:f>_xlfn.IFNA(VLOOKUP(_xlfn.CONCAT(I75,"|",J75),RiskValues!C:D,2,FALSE),"")</x:f>
      </x:c>
      <x:c r="L75"/>
    </x:row>
    <x:row r="76">
      <x:c r="A76"/>
      <x:c r="B76" s="25" t="str">
        <x:f>_xlfn.IFNA(VLOOKUP(A76,InfoSecThreats!A:B,2,FALSE),"")</x:f>
      </x:c>
      <x:c r="C76"/>
      <x:c r="D76" s="25" t="str">
        <x:f>_xlfn.IFNA(VLOOKUP(Vulnerabilities!C76,Assets!A:C,2,FALSE),"")</x:f>
      </x:c>
      <x:c r="E76" s="25" t="str">
        <x:f>_xlfn.IFNA(VLOOKUP(Vulnerabilities!C76,Assets!A:C,3,FALSE),"")</x:f>
      </x:c>
      <x:c r="F76"/>
      <x:c r="G76" s="26" t="str">
        <x:f t="shared" si="1"/>
      </x:c>
      <x:c r="H76"/>
      <x:c r="I76"/>
      <x:c r="J76"/>
      <x:c r="K76" s="26" t="str">
        <x:f>_xlfn.IFNA(VLOOKUP(_xlfn.CONCAT(I76,"|",J76),RiskValues!C:D,2,FALSE),"")</x:f>
      </x:c>
      <x:c r="L76"/>
    </x:row>
    <x:row r="77">
      <x:c r="A77"/>
      <x:c r="B77" s="25" t="str">
        <x:f>_xlfn.IFNA(VLOOKUP(A77,InfoSecThreats!A:B,2,FALSE),"")</x:f>
      </x:c>
      <x:c r="C77"/>
      <x:c r="D77" s="25" t="str">
        <x:f>_xlfn.IFNA(VLOOKUP(Vulnerabilities!C77,Assets!A:C,2,FALSE),"")</x:f>
      </x:c>
      <x:c r="E77" s="25" t="str">
        <x:f>_xlfn.IFNA(VLOOKUP(Vulnerabilities!C77,Assets!A:C,3,FALSE),"")</x:f>
      </x:c>
      <x:c r="F77"/>
      <x:c r="G77" s="26" t="str">
        <x:f t="shared" si="1"/>
      </x:c>
      <x:c r="H77"/>
      <x:c r="I77"/>
      <x:c r="J77"/>
      <x:c r="K77" s="26" t="str">
        <x:f>_xlfn.IFNA(VLOOKUP(_xlfn.CONCAT(I77,"|",J77),RiskValues!C:D,2,FALSE),"")</x:f>
      </x:c>
      <x:c r="L77"/>
    </x:row>
    <x:row r="78">
      <x:c r="A78"/>
      <x:c r="B78" s="25" t="str">
        <x:f>_xlfn.IFNA(VLOOKUP(A78,InfoSecThreats!A:B,2,FALSE),"")</x:f>
      </x:c>
      <x:c r="C78"/>
      <x:c r="D78" s="25" t="str">
        <x:f>_xlfn.IFNA(VLOOKUP(Vulnerabilities!C78,Assets!A:C,2,FALSE),"")</x:f>
      </x:c>
      <x:c r="E78" s="25" t="str">
        <x:f>_xlfn.IFNA(VLOOKUP(Vulnerabilities!C78,Assets!A:C,3,FALSE),"")</x:f>
      </x:c>
      <x:c r="F78"/>
      <x:c r="G78" s="26" t="str">
        <x:f t="shared" si="1"/>
      </x:c>
      <x:c r="H78"/>
      <x:c r="I78"/>
      <x:c r="J78"/>
      <x:c r="K78" s="26" t="str">
        <x:f>_xlfn.IFNA(VLOOKUP(_xlfn.CONCAT(I78,"|",J78),RiskValues!C:D,2,FALSE),"")</x:f>
      </x:c>
      <x:c r="L78"/>
    </x:row>
    <x:row r="79">
      <x:c r="A79"/>
      <x:c r="B79" s="25" t="str">
        <x:f>_xlfn.IFNA(VLOOKUP(A79,InfoSecThreats!A:B,2,FALSE),"")</x:f>
      </x:c>
      <x:c r="C79"/>
      <x:c r="D79" s="25" t="str">
        <x:f>_xlfn.IFNA(VLOOKUP(Vulnerabilities!C79,Assets!A:C,2,FALSE),"")</x:f>
      </x:c>
      <x:c r="E79" s="25" t="str">
        <x:f>_xlfn.IFNA(VLOOKUP(Vulnerabilities!C79,Assets!A:C,3,FALSE),"")</x:f>
      </x:c>
      <x:c r="F79"/>
      <x:c r="G79" s="26" t="str">
        <x:f t="shared" si="1"/>
      </x:c>
      <x:c r="H79"/>
      <x:c r="I79"/>
      <x:c r="J79"/>
      <x:c r="K79" s="26" t="str">
        <x:f>_xlfn.IFNA(VLOOKUP(_xlfn.CONCAT(I79,"|",J79),RiskValues!C:D,2,FALSE),"")</x:f>
      </x:c>
      <x:c r="L79"/>
    </x:row>
    <x:row r="80">
      <x:c r="A80"/>
      <x:c r="B80" s="25" t="str">
        <x:f>_xlfn.IFNA(VLOOKUP(A80,InfoSecThreats!A:B,2,FALSE),"")</x:f>
      </x:c>
      <x:c r="C80"/>
      <x:c r="D80" s="25" t="str">
        <x:f>_xlfn.IFNA(VLOOKUP(Vulnerabilities!C80,Assets!A:C,2,FALSE),"")</x:f>
      </x:c>
      <x:c r="E80" s="25" t="str">
        <x:f>_xlfn.IFNA(VLOOKUP(Vulnerabilities!C80,Assets!A:C,3,FALSE),"")</x:f>
      </x:c>
      <x:c r="F80"/>
      <x:c r="G80" s="26" t="str">
        <x:f t="shared" si="1"/>
      </x:c>
      <x:c r="H80"/>
      <x:c r="I80"/>
      <x:c r="J80"/>
      <x:c r="K80" s="26" t="str">
        <x:f>_xlfn.IFNA(VLOOKUP(_xlfn.CONCAT(I80,"|",J80),RiskValues!C:D,2,FALSE),"")</x:f>
      </x:c>
      <x:c r="L80"/>
    </x:row>
    <x:row r="81">
      <x:c r="A81"/>
      <x:c r="B81" s="25" t="str">
        <x:f>_xlfn.IFNA(VLOOKUP(A81,InfoSecThreats!A:B,2,FALSE),"")</x:f>
      </x:c>
      <x:c r="C81"/>
      <x:c r="D81" s="25" t="str">
        <x:f>_xlfn.IFNA(VLOOKUP(Vulnerabilities!C81,Assets!A:C,2,FALSE),"")</x:f>
      </x:c>
      <x:c r="E81" s="25" t="str">
        <x:f>_xlfn.IFNA(VLOOKUP(Vulnerabilities!C81,Assets!A:C,3,FALSE),"")</x:f>
      </x:c>
      <x:c r="F81"/>
      <x:c r="G81" s="26" t="str">
        <x:f t="shared" si="1"/>
      </x:c>
      <x:c r="H81"/>
      <x:c r="I81"/>
      <x:c r="J81"/>
      <x:c r="K81" s="26" t="str">
        <x:f>_xlfn.IFNA(VLOOKUP(_xlfn.CONCAT(I81,"|",J81),RiskValues!C:D,2,FALSE),"")</x:f>
      </x:c>
      <x:c r="L81"/>
    </x:row>
    <x:row r="82">
      <x:c r="A82"/>
      <x:c r="B82" s="25" t="str">
        <x:f>_xlfn.IFNA(VLOOKUP(A82,InfoSecThreats!A:B,2,FALSE),"")</x:f>
      </x:c>
      <x:c r="C82"/>
      <x:c r="D82" s="25" t="str">
        <x:f>_xlfn.IFNA(VLOOKUP(Vulnerabilities!C82,Assets!A:C,2,FALSE),"")</x:f>
      </x:c>
      <x:c r="E82" s="25" t="str">
        <x:f>_xlfn.IFNA(VLOOKUP(Vulnerabilities!C82,Assets!A:C,3,FALSE),"")</x:f>
      </x:c>
      <x:c r="F82"/>
      <x:c r="G82" s="26" t="str">
        <x:f t="shared" si="1"/>
      </x:c>
      <x:c r="H82"/>
      <x:c r="I82"/>
      <x:c r="J82"/>
      <x:c r="K82" s="26" t="str">
        <x:f>_xlfn.IFNA(VLOOKUP(_xlfn.CONCAT(I82,"|",J82),RiskValues!C:D,2,FALSE),"")</x:f>
      </x:c>
      <x:c r="L82"/>
    </x:row>
    <x:row r="83">
      <x:c r="A83"/>
      <x:c r="B83" s="25" t="str">
        <x:f>_xlfn.IFNA(VLOOKUP(A83,InfoSecThreats!A:B,2,FALSE),"")</x:f>
      </x:c>
      <x:c r="C83"/>
      <x:c r="D83" s="25" t="str">
        <x:f>_xlfn.IFNA(VLOOKUP(Vulnerabilities!C83,Assets!A:C,2,FALSE),"")</x:f>
      </x:c>
      <x:c r="E83" s="25" t="str">
        <x:f>_xlfn.IFNA(VLOOKUP(Vulnerabilities!C83,Assets!A:C,3,FALSE),"")</x:f>
      </x:c>
      <x:c r="F83"/>
      <x:c r="G83" s="26" t="str">
        <x:f t="shared" si="1"/>
      </x:c>
      <x:c r="H83"/>
      <x:c r="I83"/>
      <x:c r="J83"/>
      <x:c r="K83" s="26" t="str">
        <x:f>_xlfn.IFNA(VLOOKUP(_xlfn.CONCAT(I83,"|",J83),RiskValues!C:D,2,FALSE),"")</x:f>
      </x:c>
      <x:c r="L83"/>
    </x:row>
    <x:row r="84">
      <x:c r="A84"/>
      <x:c r="B84" s="25" t="str">
        <x:f>_xlfn.IFNA(VLOOKUP(A84,InfoSecThreats!A:B,2,FALSE),"")</x:f>
      </x:c>
      <x:c r="C84"/>
      <x:c r="D84" s="25" t="str">
        <x:f>_xlfn.IFNA(VLOOKUP(Vulnerabilities!C84,Assets!A:C,2,FALSE),"")</x:f>
      </x:c>
      <x:c r="E84" s="25" t="str">
        <x:f>_xlfn.IFNA(VLOOKUP(Vulnerabilities!C84,Assets!A:C,3,FALSE),"")</x:f>
      </x:c>
      <x:c r="F84"/>
      <x:c r="G84" s="26" t="str">
        <x:f t="shared" si="1"/>
      </x:c>
      <x:c r="H84"/>
      <x:c r="I84"/>
      <x:c r="J84"/>
      <x:c r="K84" s="26" t="str">
        <x:f>_xlfn.IFNA(VLOOKUP(_xlfn.CONCAT(I84,"|",J84),RiskValues!C:D,2,FALSE),"")</x:f>
      </x:c>
      <x:c r="L84"/>
    </x:row>
    <x:row r="85">
      <x:c r="A85"/>
      <x:c r="B85" s="25" t="str">
        <x:f>_xlfn.IFNA(VLOOKUP(A85,InfoSecThreats!A:B,2,FALSE),"")</x:f>
      </x:c>
      <x:c r="C85"/>
      <x:c r="D85" s="25" t="str">
        <x:f>_xlfn.IFNA(VLOOKUP(Vulnerabilities!C85,Assets!A:C,2,FALSE),"")</x:f>
      </x:c>
      <x:c r="E85" s="25" t="str">
        <x:f>_xlfn.IFNA(VLOOKUP(Vulnerabilities!C85,Assets!A:C,3,FALSE),"")</x:f>
      </x:c>
      <x:c r="F85"/>
      <x:c r="G85" s="26" t="str">
        <x:f t="shared" si="1"/>
      </x:c>
      <x:c r="H85"/>
      <x:c r="I85"/>
      <x:c r="J85"/>
      <x:c r="K85" s="26" t="str">
        <x:f>_xlfn.IFNA(VLOOKUP(_xlfn.CONCAT(I85,"|",J85),RiskValues!C:D,2,FALSE),"")</x:f>
      </x:c>
      <x:c r="L85"/>
    </x:row>
    <x:row r="86">
      <x:c r="A86"/>
      <x:c r="B86" s="25" t="str">
        <x:f>_xlfn.IFNA(VLOOKUP(A86,InfoSecThreats!A:B,2,FALSE),"")</x:f>
      </x:c>
      <x:c r="C86"/>
      <x:c r="D86" s="25" t="str">
        <x:f>_xlfn.IFNA(VLOOKUP(Vulnerabilities!C86,Assets!A:C,2,FALSE),"")</x:f>
      </x:c>
      <x:c r="E86" s="25" t="str">
        <x:f>_xlfn.IFNA(VLOOKUP(Vulnerabilities!C86,Assets!A:C,3,FALSE),"")</x:f>
      </x:c>
      <x:c r="F86"/>
      <x:c r="G86" s="26" t="str">
        <x:f t="shared" si="1"/>
      </x:c>
      <x:c r="H86"/>
      <x:c r="I86"/>
      <x:c r="J86"/>
      <x:c r="K86" s="26" t="str">
        <x:f>_xlfn.IFNA(VLOOKUP(_xlfn.CONCAT(I86,"|",J86),RiskValues!C:D,2,FALSE),"")</x:f>
      </x:c>
      <x:c r="L86"/>
    </x:row>
    <x:row r="87">
      <x:c r="A87"/>
      <x:c r="B87" s="25" t="str">
        <x:f>_xlfn.IFNA(VLOOKUP(A87,InfoSecThreats!A:B,2,FALSE),"")</x:f>
      </x:c>
      <x:c r="C87"/>
      <x:c r="D87" s="25" t="str">
        <x:f>_xlfn.IFNA(VLOOKUP(Vulnerabilities!C87,Assets!A:C,2,FALSE),"")</x:f>
      </x:c>
      <x:c r="E87" s="25" t="str">
        <x:f>_xlfn.IFNA(VLOOKUP(Vulnerabilities!C87,Assets!A:C,3,FALSE),"")</x:f>
      </x:c>
      <x:c r="F87"/>
      <x:c r="G87" s="26" t="str">
        <x:f t="shared" si="1"/>
      </x:c>
      <x:c r="H87"/>
      <x:c r="I87"/>
      <x:c r="J87"/>
      <x:c r="K87" s="26" t="str">
        <x:f>_xlfn.IFNA(VLOOKUP(_xlfn.CONCAT(I87,"|",J87),RiskValues!C:D,2,FALSE),"")</x:f>
      </x:c>
      <x:c r="L87"/>
    </x:row>
    <x:row r="88">
      <x:c r="A88"/>
      <x:c r="B88" s="25" t="str">
        <x:f>_xlfn.IFNA(VLOOKUP(A88,InfoSecThreats!A:B,2,FALSE),"")</x:f>
      </x:c>
      <x:c r="C88"/>
      <x:c r="D88" s="25" t="str">
        <x:f>_xlfn.IFNA(VLOOKUP(Vulnerabilities!C88,Assets!A:C,2,FALSE),"")</x:f>
      </x:c>
      <x:c r="E88" s="25" t="str">
        <x:f>_xlfn.IFNA(VLOOKUP(Vulnerabilities!C88,Assets!A:C,3,FALSE),"")</x:f>
      </x:c>
      <x:c r="F88"/>
      <x:c r="G88" s="26" t="str">
        <x:f t="shared" si="1"/>
      </x:c>
      <x:c r="H88"/>
      <x:c r="I88"/>
      <x:c r="J88"/>
      <x:c r="K88" s="26" t="str">
        <x:f>_xlfn.IFNA(VLOOKUP(_xlfn.CONCAT(I88,"|",J88),RiskValues!C:D,2,FALSE),"")</x:f>
      </x:c>
      <x:c r="L88"/>
    </x:row>
    <x:row r="89">
      <x:c r="A89"/>
      <x:c r="B89" s="25" t="str">
        <x:f>_xlfn.IFNA(VLOOKUP(A89,InfoSecThreats!A:B,2,FALSE),"")</x:f>
      </x:c>
      <x:c r="C89"/>
      <x:c r="D89" s="25" t="str">
        <x:f>_xlfn.IFNA(VLOOKUP(Vulnerabilities!C89,Assets!A:C,2,FALSE),"")</x:f>
      </x:c>
      <x:c r="E89" s="25" t="str">
        <x:f>_xlfn.IFNA(VLOOKUP(Vulnerabilities!C89,Assets!A:C,3,FALSE),"")</x:f>
      </x:c>
      <x:c r="F89"/>
      <x:c r="G89" s="26" t="str">
        <x:f t="shared" si="1"/>
      </x:c>
      <x:c r="H89"/>
      <x:c r="I89"/>
      <x:c r="J89"/>
      <x:c r="K89" s="26" t="str">
        <x:f>_xlfn.IFNA(VLOOKUP(_xlfn.CONCAT(I89,"|",J89),RiskValues!C:D,2,FALSE),"")</x:f>
      </x:c>
      <x:c r="L89"/>
    </x:row>
    <x:row r="90">
      <x:c r="A90"/>
      <x:c r="B90" s="25" t="str">
        <x:f>_xlfn.IFNA(VLOOKUP(A90,InfoSecThreats!A:B,2,FALSE),"")</x:f>
      </x:c>
      <x:c r="C90"/>
      <x:c r="D90" s="25" t="str">
        <x:f>_xlfn.IFNA(VLOOKUP(Vulnerabilities!C90,Assets!A:C,2,FALSE),"")</x:f>
      </x:c>
      <x:c r="E90" s="25" t="str">
        <x:f>_xlfn.IFNA(VLOOKUP(Vulnerabilities!C90,Assets!A:C,3,FALSE),"")</x:f>
      </x:c>
      <x:c r="F90"/>
      <x:c r="G90" s="26" t="str">
        <x:f t="shared" si="1"/>
      </x:c>
      <x:c r="H90"/>
      <x:c r="I90"/>
      <x:c r="J90"/>
      <x:c r="K90" s="26" t="str">
        <x:f>_xlfn.IFNA(VLOOKUP(_xlfn.CONCAT(I90,"|",J90),RiskValues!C:D,2,FALSE),"")</x:f>
      </x:c>
      <x:c r="L90"/>
    </x:row>
    <x:row r="91">
      <x:c r="A91"/>
      <x:c r="B91" s="25" t="str">
        <x:f>_xlfn.IFNA(VLOOKUP(A91,InfoSecThreats!A:B,2,FALSE),"")</x:f>
      </x:c>
      <x:c r="C91"/>
      <x:c r="D91" s="25" t="str">
        <x:f>_xlfn.IFNA(VLOOKUP(Vulnerabilities!C91,Assets!A:C,2,FALSE),"")</x:f>
      </x:c>
      <x:c r="E91" s="25" t="str">
        <x:f>_xlfn.IFNA(VLOOKUP(Vulnerabilities!C91,Assets!A:C,3,FALSE),"")</x:f>
      </x:c>
      <x:c r="F91"/>
      <x:c r="G91" s="26" t="str">
        <x:f t="shared" si="1"/>
      </x:c>
      <x:c r="H91"/>
      <x:c r="I91"/>
      <x:c r="J91"/>
      <x:c r="K91" s="26" t="str">
        <x:f>_xlfn.IFNA(VLOOKUP(_xlfn.CONCAT(I91,"|",J91),RiskValues!C:D,2,FALSE),"")</x:f>
      </x:c>
      <x:c r="L91"/>
    </x:row>
    <x:row r="92">
      <x:c r="A92"/>
      <x:c r="B92" s="25" t="str">
        <x:f>_xlfn.IFNA(VLOOKUP(A92,InfoSecThreats!A:B,2,FALSE),"")</x:f>
      </x:c>
      <x:c r="C92"/>
      <x:c r="D92" s="25" t="str">
        <x:f>_xlfn.IFNA(VLOOKUP(Vulnerabilities!C92,Assets!A:C,2,FALSE),"")</x:f>
      </x:c>
      <x:c r="E92" s="25" t="str">
        <x:f>_xlfn.IFNA(VLOOKUP(Vulnerabilities!C92,Assets!A:C,3,FALSE),"")</x:f>
      </x:c>
      <x:c r="F92"/>
      <x:c r="G92" s="26" t="str">
        <x:f t="shared" si="1"/>
      </x:c>
      <x:c r="H92"/>
      <x:c r="I92"/>
      <x:c r="J92"/>
      <x:c r="K92" s="26" t="str">
        <x:f>_xlfn.IFNA(VLOOKUP(_xlfn.CONCAT(I92,"|",J92),RiskValues!C:D,2,FALSE),"")</x:f>
      </x:c>
      <x:c r="L92"/>
    </x:row>
    <x:row r="93">
      <x:c r="A93"/>
      <x:c r="B93" s="25" t="str">
        <x:f>_xlfn.IFNA(VLOOKUP(A93,InfoSecThreats!A:B,2,FALSE),"")</x:f>
      </x:c>
      <x:c r="C93"/>
      <x:c r="D93" s="25" t="str">
        <x:f>_xlfn.IFNA(VLOOKUP(Vulnerabilities!C93,Assets!A:C,2,FALSE),"")</x:f>
      </x:c>
      <x:c r="E93" s="25" t="str">
        <x:f>_xlfn.IFNA(VLOOKUP(Vulnerabilities!C93,Assets!A:C,3,FALSE),"")</x:f>
      </x:c>
      <x:c r="F93"/>
      <x:c r="G93" s="26" t="str">
        <x:f t="shared" si="1"/>
      </x:c>
      <x:c r="H93"/>
      <x:c r="I93"/>
      <x:c r="J93"/>
      <x:c r="K93" s="26" t="str">
        <x:f>_xlfn.IFNA(VLOOKUP(_xlfn.CONCAT(I93,"|",J93),RiskValues!C:D,2,FALSE),"")</x:f>
      </x:c>
      <x:c r="L93"/>
    </x:row>
    <x:row r="94">
      <x:c r="A94"/>
      <x:c r="B94" s="25" t="str">
        <x:f>_xlfn.IFNA(VLOOKUP(A94,InfoSecThreats!A:B,2,FALSE),"")</x:f>
      </x:c>
      <x:c r="C94"/>
      <x:c r="D94" s="25" t="str">
        <x:f>_xlfn.IFNA(VLOOKUP(Vulnerabilities!C94,Assets!A:C,2,FALSE),"")</x:f>
      </x:c>
      <x:c r="E94" s="25" t="str">
        <x:f>_xlfn.IFNA(VLOOKUP(Vulnerabilities!C94,Assets!A:C,3,FALSE),"")</x:f>
      </x:c>
      <x:c r="F94"/>
      <x:c r="G94" s="26" t="str">
        <x:f t="shared" si="1"/>
      </x:c>
      <x:c r="H94"/>
      <x:c r="I94"/>
      <x:c r="J94"/>
      <x:c r="K94" s="26" t="str">
        <x:f>_xlfn.IFNA(VLOOKUP(_xlfn.CONCAT(I94,"|",J94),RiskValues!C:D,2,FALSE),"")</x:f>
      </x:c>
      <x:c r="L94"/>
    </x:row>
    <x:row r="95">
      <x:c r="A95"/>
      <x:c r="B95" s="25" t="str">
        <x:f>_xlfn.IFNA(VLOOKUP(A95,InfoSecThreats!A:B,2,FALSE),"")</x:f>
      </x:c>
      <x:c r="C95"/>
      <x:c r="D95" s="25" t="str">
        <x:f>_xlfn.IFNA(VLOOKUP(Vulnerabilities!C95,Assets!A:C,2,FALSE),"")</x:f>
      </x:c>
      <x:c r="E95" s="25" t="str">
        <x:f>_xlfn.IFNA(VLOOKUP(Vulnerabilities!C95,Assets!A:C,3,FALSE),"")</x:f>
      </x:c>
      <x:c r="F95"/>
      <x:c r="G95" s="26" t="str">
        <x:f t="shared" si="1"/>
      </x:c>
      <x:c r="H95"/>
      <x:c r="I95"/>
      <x:c r="J95"/>
      <x:c r="K95" s="26" t="str">
        <x:f>_xlfn.IFNA(VLOOKUP(_xlfn.CONCAT(I95,"|",J95),RiskValues!C:D,2,FALSE),"")</x:f>
      </x:c>
      <x:c r="L95"/>
    </x:row>
    <x:row r="96">
      <x:c r="A96"/>
      <x:c r="B96" s="25" t="str">
        <x:f>_xlfn.IFNA(VLOOKUP(A96,InfoSecThreats!A:B,2,FALSE),"")</x:f>
      </x:c>
      <x:c r="C96"/>
      <x:c r="D96" s="25" t="str">
        <x:f>_xlfn.IFNA(VLOOKUP(Vulnerabilities!C96,Assets!A:C,2,FALSE),"")</x:f>
      </x:c>
      <x:c r="E96" s="25" t="str">
        <x:f>_xlfn.IFNA(VLOOKUP(Vulnerabilities!C96,Assets!A:C,3,FALSE),"")</x:f>
      </x:c>
      <x:c r="F96"/>
      <x:c r="G96" s="26" t="str">
        <x:f t="shared" si="1"/>
      </x:c>
      <x:c r="H96"/>
      <x:c r="I96"/>
      <x:c r="J96"/>
      <x:c r="K96" s="26" t="str">
        <x:f>_xlfn.IFNA(VLOOKUP(_xlfn.CONCAT(I96,"|",J96),RiskValues!C:D,2,FALSE),"")</x:f>
      </x:c>
      <x:c r="L96"/>
    </x:row>
    <x:row r="97">
      <x:c r="A97"/>
      <x:c r="B97" s="25" t="str">
        <x:f>_xlfn.IFNA(VLOOKUP(A97,InfoSecThreats!A:B,2,FALSE),"")</x:f>
      </x:c>
      <x:c r="C97"/>
      <x:c r="D97" s="25" t="str">
        <x:f>_xlfn.IFNA(VLOOKUP(Vulnerabilities!C97,Assets!A:C,2,FALSE),"")</x:f>
      </x:c>
      <x:c r="E97" s="25" t="str">
        <x:f>_xlfn.IFNA(VLOOKUP(Vulnerabilities!C97,Assets!A:C,3,FALSE),"")</x:f>
      </x:c>
      <x:c r="F97"/>
      <x:c r="G97" s="26" t="str">
        <x:f t="shared" si="1"/>
      </x:c>
      <x:c r="H97"/>
      <x:c r="I97"/>
      <x:c r="J97"/>
      <x:c r="K97" s="26" t="str">
        <x:f>_xlfn.IFNA(VLOOKUP(_xlfn.CONCAT(I97,"|",J97),RiskValues!C:D,2,FALSE),"")</x:f>
      </x:c>
      <x:c r="L97"/>
    </x:row>
    <x:row r="98">
      <x:c r="A98"/>
      <x:c r="B98" s="25" t="str">
        <x:f>_xlfn.IFNA(VLOOKUP(A98,InfoSecThreats!A:B,2,FALSE),"")</x:f>
      </x:c>
      <x:c r="C98"/>
      <x:c r="D98" s="25" t="str">
        <x:f>_xlfn.IFNA(VLOOKUP(Vulnerabilities!C98,Assets!A:C,2,FALSE),"")</x:f>
      </x:c>
      <x:c r="E98" s="25" t="str">
        <x:f>_xlfn.IFNA(VLOOKUP(Vulnerabilities!C98,Assets!A:C,3,FALSE),"")</x:f>
      </x:c>
      <x:c r="F98"/>
      <x:c r="G98" s="26" t="str">
        <x:f t="shared" si="1"/>
      </x:c>
      <x:c r="H98"/>
      <x:c r="I98"/>
      <x:c r="J98"/>
      <x:c r="K98" s="26" t="str">
        <x:f>_xlfn.IFNA(VLOOKUP(_xlfn.CONCAT(I98,"|",J98),RiskValues!C:D,2,FALSE),"")</x:f>
      </x:c>
      <x:c r="L98"/>
    </x:row>
    <x:row r="99">
      <x:c r="A99"/>
      <x:c r="B99" s="25" t="str">
        <x:f>_xlfn.IFNA(VLOOKUP(A99,InfoSecThreats!A:B,2,FALSE),"")</x:f>
      </x:c>
      <x:c r="C99"/>
      <x:c r="D99" s="25" t="str">
        <x:f>_xlfn.IFNA(VLOOKUP(Vulnerabilities!C99,Assets!A:C,2,FALSE),"")</x:f>
      </x:c>
      <x:c r="E99" s="25" t="str">
        <x:f>_xlfn.IFNA(VLOOKUP(Vulnerabilities!C99,Assets!A:C,3,FALSE),"")</x:f>
      </x:c>
      <x:c r="F99"/>
      <x:c r="G99" s="26" t="str">
        <x:f t="shared" si="1"/>
      </x:c>
      <x:c r="H99"/>
      <x:c r="I99"/>
      <x:c r="J99"/>
      <x:c r="K99" s="26" t="str">
        <x:f>_xlfn.IFNA(VLOOKUP(_xlfn.CONCAT(I99,"|",J99),RiskValues!C:D,2,FALSE),"")</x:f>
      </x:c>
      <x:c r="L99"/>
    </x:row>
    <x:row r="100">
      <x:c r="A100"/>
      <x:c r="B100" s="25" t="str">
        <x:f>_xlfn.IFNA(VLOOKUP(A100,InfoSecThreats!A:B,2,FALSE),"")</x:f>
      </x:c>
      <x:c r="C100"/>
      <x:c r="D100" s="25" t="str">
        <x:f>_xlfn.IFNA(VLOOKUP(Vulnerabilities!C100,Assets!A:C,2,FALSE),"")</x:f>
      </x:c>
      <x:c r="E100" s="25" t="str">
        <x:f>_xlfn.IFNA(VLOOKUP(Vulnerabilities!C100,Assets!A:C,3,FALSE),"")</x:f>
      </x:c>
      <x:c r="F100"/>
      <x:c r="G100" s="26" t="str">
        <x:f t="shared" si="1"/>
      </x:c>
      <x:c r="H100"/>
      <x:c r="I100"/>
      <x:c r="J100"/>
      <x:c r="K100" s="26" t="str">
        <x:f>_xlfn.IFNA(VLOOKUP(_xlfn.CONCAT(I100,"|",J100),RiskValues!C:D,2,FALSE),"")</x:f>
      </x:c>
      <x:c r="L100"/>
    </x:row>
    <x:row r="101">
      <x:c r="A101"/>
      <x:c r="B101" s="25" t="str">
        <x:f>_xlfn.IFNA(VLOOKUP(A101,InfoSecThreats!A:B,2,FALSE),"")</x:f>
      </x:c>
      <x:c r="C101"/>
      <x:c r="D101" s="25" t="str">
        <x:f>_xlfn.IFNA(VLOOKUP(Vulnerabilities!C101,Assets!A:C,2,FALSE),"")</x:f>
      </x:c>
      <x:c r="E101" s="25" t="str">
        <x:f>_xlfn.IFNA(VLOOKUP(Vulnerabilities!C101,Assets!A:C,3,FALSE),"")</x:f>
      </x:c>
      <x:c r="F101"/>
      <x:c r="G101" s="26" t="str">
        <x:f t="shared" si="1"/>
      </x:c>
      <x:c r="H101"/>
      <x:c r="I101"/>
      <x:c r="J101"/>
      <x:c r="K101" s="26" t="str">
        <x:f>_xlfn.IFNA(VLOOKUP(_xlfn.CONCAT(I101,"|",J101),RiskValues!C:D,2,FALSE),"")</x:f>
      </x:c>
      <x:c r="L101"/>
    </x:row>
    <x:row r="102">
      <x:c r="B102" s="25" t="str">
        <x:f>_xlfn.IFNA(VLOOKUP(A102,InfoSecThreats!A:B,2,FALSE),"")</x:f>
      </x:c>
      <x:c r="D102" s="25" t="str">
        <x:f>_xlfn.IFNA(VLOOKUP(Vulnerabilities!C102,Assets!A:C,2,FALSE),"")</x:f>
      </x:c>
      <x:c r="E102" s="25" t="str">
        <x:f>_xlfn.IFNA(VLOOKUP(Vulnerabilities!C102,Assets!A:C,3,FALSE),"")</x:f>
      </x:c>
      <x:c r="G102" s="26" t="str">
        <x:f t="shared" si="1"/>
      </x:c>
      <x:c r="K102" s="26" t="str">
        <x:f>_xlfn.IFNA(VLOOKUP(_xlfn.CONCAT(I102,"|",J102),RiskValues!C:D,2,FALSE),"")</x:f>
      </x:c>
    </x:row>
    <x:row r="103">
      <x:c r="B103" s="25" t="str">
        <x:f>_xlfn.IFNA(VLOOKUP(A103,InfoSecThreats!A:B,2,FALSE),"")</x:f>
      </x:c>
      <x:c r="D103" s="25" t="str">
        <x:f>_xlfn.IFNA(VLOOKUP(Vulnerabilities!C103,Assets!A:C,2,FALSE),"")</x:f>
      </x:c>
      <x:c r="E103" s="25" t="str">
        <x:f>_xlfn.IFNA(VLOOKUP(Vulnerabilities!C103,Assets!A:C,3,FALSE),"")</x:f>
      </x:c>
      <x:c r="G103" s="26" t="str">
        <x:f t="shared" si="1"/>
      </x:c>
      <x:c r="K103" s="26" t="str">
        <x:f>_xlfn.IFNA(VLOOKUP(_xlfn.CONCAT(I103,"|",J103),RiskValues!C:D,2,FALSE),"")</x:f>
      </x:c>
    </x:row>
    <x:row r="104">
      <x:c r="B104" s="25" t="str">
        <x:f>_xlfn.IFNA(VLOOKUP(A104,InfoSecThreats!A:B,2,FALSE),"")</x:f>
      </x:c>
      <x:c r="D104" s="25" t="str">
        <x:f>_xlfn.IFNA(VLOOKUP(Vulnerabilities!C104,Assets!A:C,2,FALSE),"")</x:f>
      </x:c>
      <x:c r="E104" s="25" t="str">
        <x:f>_xlfn.IFNA(VLOOKUP(Vulnerabilities!C104,Assets!A:C,3,FALSE),"")</x:f>
      </x:c>
      <x:c r="G104" s="26" t="str">
        <x:f t="shared" si="1"/>
      </x:c>
      <x:c r="K104" s="26" t="str">
        <x:f>_xlfn.IFNA(VLOOKUP(_xlfn.CONCAT(I104,"|",J104),RiskValues!C:D,2,FALSE),"")</x:f>
      </x:c>
    </x:row>
    <x:row r="105">
      <x:c r="B105" s="25" t="str">
        <x:f>_xlfn.IFNA(VLOOKUP(A105,InfoSecThreats!A:B,2,FALSE),"")</x:f>
      </x:c>
      <x:c r="D105" s="25" t="str">
        <x:f>_xlfn.IFNA(VLOOKUP(Vulnerabilities!C105,Assets!A:C,2,FALSE),"")</x:f>
      </x:c>
      <x:c r="E105" s="25" t="str">
        <x:f>_xlfn.IFNA(VLOOKUP(Vulnerabilities!C105,Assets!A:C,3,FALSE),"")</x:f>
      </x:c>
      <x:c r="G105" s="26" t="str">
        <x:f t="shared" si="1"/>
      </x:c>
      <x:c r="K105" s="26" t="str">
        <x:f>_xlfn.IFNA(VLOOKUP(_xlfn.CONCAT(I105,"|",J105),RiskValues!C:D,2,FALSE),"")</x:f>
      </x:c>
    </x:row>
    <x:row r="106">
      <x:c r="B106" s="25" t="str">
        <x:f>_xlfn.IFNA(VLOOKUP(A106,InfoSecThreats!A:B,2,FALSE),"")</x:f>
      </x:c>
      <x:c r="D106" s="25" t="str">
        <x:f>_xlfn.IFNA(VLOOKUP(Vulnerabilities!C106,Assets!A:C,2,FALSE),"")</x:f>
      </x:c>
      <x:c r="E106" s="25" t="str">
        <x:f>_xlfn.IFNA(VLOOKUP(Vulnerabilities!C106,Assets!A:C,3,FALSE),"")</x:f>
      </x:c>
      <x:c r="G106" s="26" t="str">
        <x:f t="shared" si="1"/>
      </x:c>
      <x:c r="K106" s="26" t="str">
        <x:f>_xlfn.IFNA(VLOOKUP(_xlfn.CONCAT(I106,"|",J106),RiskValues!C:D,2,FALSE),"")</x:f>
      </x:c>
    </x:row>
    <x:row r="107">
      <x:c r="B107" s="25" t="str">
        <x:f>_xlfn.IFNA(VLOOKUP(A107,InfoSecThreats!A:B,2,FALSE),"")</x:f>
      </x:c>
      <x:c r="D107" s="25" t="str">
        <x:f>_xlfn.IFNA(VLOOKUP(Vulnerabilities!C107,Assets!A:C,2,FALSE),"")</x:f>
      </x:c>
      <x:c r="E107" s="25" t="str">
        <x:f>_xlfn.IFNA(VLOOKUP(Vulnerabilities!C107,Assets!A:C,3,FALSE),"")</x:f>
      </x:c>
      <x:c r="G107" s="26" t="str">
        <x:f t="shared" si="1"/>
      </x:c>
      <x:c r="K107" s="26" t="str">
        <x:f>_xlfn.IFNA(VLOOKUP(_xlfn.CONCAT(I107,"|",J107),RiskValues!C:D,2,FALSE),"")</x:f>
      </x:c>
    </x:row>
    <x:row r="108">
      <x:c r="B108" s="25" t="str">
        <x:f>_xlfn.IFNA(VLOOKUP(A108,InfoSecThreats!A:B,2,FALSE),"")</x:f>
      </x:c>
      <x:c r="D108" s="25" t="str">
        <x:f>_xlfn.IFNA(VLOOKUP(Vulnerabilities!C108,Assets!A:C,2,FALSE),"")</x:f>
      </x:c>
      <x:c r="E108" s="25" t="str">
        <x:f>_xlfn.IFNA(VLOOKUP(Vulnerabilities!C108,Assets!A:C,3,FALSE),"")</x:f>
      </x:c>
      <x:c r="G108" s="26" t="str">
        <x:f t="shared" si="1"/>
      </x:c>
      <x:c r="K108" s="26" t="str">
        <x:f>_xlfn.IFNA(VLOOKUP(_xlfn.CONCAT(I108,"|",J108),RiskValues!C:D,2,FALSE),"")</x:f>
      </x:c>
    </x:row>
    <x:row r="109">
      <x:c r="B109" s="25" t="str">
        <x:f>_xlfn.IFNA(VLOOKUP(A109,InfoSecThreats!A:B,2,FALSE),"")</x:f>
      </x:c>
      <x:c r="D109" s="25" t="str">
        <x:f>_xlfn.IFNA(VLOOKUP(Vulnerabilities!C109,Assets!A:C,2,FALSE),"")</x:f>
      </x:c>
      <x:c r="E109" s="25" t="str">
        <x:f>_xlfn.IFNA(VLOOKUP(Vulnerabilities!C109,Assets!A:C,3,FALSE),"")</x:f>
      </x:c>
      <x:c r="G109" s="26" t="str">
        <x:f t="shared" si="1"/>
      </x:c>
      <x:c r="K109" s="26" t="str">
        <x:f>_xlfn.IFNA(VLOOKUP(_xlfn.CONCAT(I109,"|",J109),RiskValues!C:D,2,FALSE),"")</x:f>
      </x:c>
    </x:row>
    <x:row r="110">
      <x:c r="B110" s="25" t="str">
        <x:f>_xlfn.IFNA(VLOOKUP(A110,InfoSecThreats!A:B,2,FALSE),"")</x:f>
      </x:c>
      <x:c r="D110" s="25" t="str">
        <x:f>_xlfn.IFNA(VLOOKUP(Vulnerabilities!C110,Assets!A:C,2,FALSE),"")</x:f>
      </x:c>
      <x:c r="E110" s="25" t="str">
        <x:f>_xlfn.IFNA(VLOOKUP(Vulnerabilities!C110,Assets!A:C,3,FALSE),"")</x:f>
      </x:c>
      <x:c r="G110" s="26" t="str">
        <x:f t="shared" si="1"/>
      </x:c>
      <x:c r="K110" s="26" t="str">
        <x:f>_xlfn.IFNA(VLOOKUP(_xlfn.CONCAT(I110,"|",J110),RiskValues!C:D,2,FALSE),"")</x:f>
      </x:c>
    </x:row>
    <x:row r="111">
      <x:c r="B111" s="25" t="str">
        <x:f>_xlfn.IFNA(VLOOKUP(A111,InfoSecThreats!A:B,2,FALSE),"")</x:f>
      </x:c>
      <x:c r="D111" s="25" t="str">
        <x:f>_xlfn.IFNA(VLOOKUP(Vulnerabilities!C111,Assets!A:C,2,FALSE),"")</x:f>
      </x:c>
      <x:c r="E111" s="25" t="str">
        <x:f>_xlfn.IFNA(VLOOKUP(Vulnerabilities!C111,Assets!A:C,3,FALSE),"")</x:f>
      </x:c>
      <x:c r="G111" s="26" t="str">
        <x:f t="shared" si="1"/>
      </x:c>
      <x:c r="K111" s="26" t="str">
        <x:f>_xlfn.IFNA(VLOOKUP(_xlfn.CONCAT(I111,"|",J111),RiskValues!C:D,2,FALSE),"")</x:f>
      </x:c>
    </x:row>
    <x:row r="112">
      <x:c r="B112" s="25" t="str">
        <x:f>_xlfn.IFNA(VLOOKUP(A112,InfoSecThreats!A:B,2,FALSE),"")</x:f>
      </x:c>
      <x:c r="D112" s="25" t="str">
        <x:f>_xlfn.IFNA(VLOOKUP(Vulnerabilities!C112,Assets!A:C,2,FALSE),"")</x:f>
      </x:c>
      <x:c r="E112" s="25" t="str">
        <x:f>_xlfn.IFNA(VLOOKUP(Vulnerabilities!C112,Assets!A:C,3,FALSE),"")</x:f>
      </x:c>
      <x:c r="G112" s="26" t="str">
        <x:f t="shared" si="1"/>
      </x:c>
      <x:c r="K112" s="26" t="str">
        <x:f>_xlfn.IFNA(VLOOKUP(_xlfn.CONCAT(I112,"|",J112),RiskValues!C:D,2,FALSE),"")</x:f>
      </x:c>
    </x:row>
    <x:row r="113">
      <x:c r="B113" s="25" t="str">
        <x:f>_xlfn.IFNA(VLOOKUP(A113,InfoSecThreats!A:B,2,FALSE),"")</x:f>
      </x:c>
      <x:c r="D113" s="25" t="str">
        <x:f>_xlfn.IFNA(VLOOKUP(Vulnerabilities!C113,Assets!A:C,2,FALSE),"")</x:f>
      </x:c>
      <x:c r="E113" s="25" t="str">
        <x:f>_xlfn.IFNA(VLOOKUP(Vulnerabilities!C113,Assets!A:C,3,FALSE),"")</x:f>
      </x:c>
      <x:c r="G113" s="26" t="str">
        <x:f t="shared" si="1"/>
      </x:c>
      <x:c r="K113" s="26" t="str">
        <x:f>_xlfn.IFNA(VLOOKUP(_xlfn.CONCAT(I113,"|",J113),RiskValues!C:D,2,FALSE),"")</x:f>
      </x:c>
    </x:row>
    <x:row r="114">
      <x:c r="B114" s="25" t="str">
        <x:f>_xlfn.IFNA(VLOOKUP(A114,InfoSecThreats!A:B,2,FALSE),"")</x:f>
      </x:c>
      <x:c r="D114" s="25" t="str">
        <x:f>_xlfn.IFNA(VLOOKUP(Vulnerabilities!C114,Assets!A:C,2,FALSE),"")</x:f>
      </x:c>
      <x:c r="E114" s="25" t="str">
        <x:f>_xlfn.IFNA(VLOOKUP(Vulnerabilities!C114,Assets!A:C,3,FALSE),"")</x:f>
      </x:c>
      <x:c r="G114" s="26" t="str">
        <x:f t="shared" si="1"/>
      </x:c>
      <x:c r="K114" s="26" t="str">
        <x:f>_xlfn.IFNA(VLOOKUP(_xlfn.CONCAT(I114,"|",J114),RiskValues!C:D,2,FALSE),"")</x:f>
      </x:c>
    </x:row>
    <x:row r="115">
      <x:c r="B115" s="25" t="str">
        <x:f>_xlfn.IFNA(VLOOKUP(A115,InfoSecThreats!A:B,2,FALSE),"")</x:f>
      </x:c>
      <x:c r="D115" s="25" t="str">
        <x:f>_xlfn.IFNA(VLOOKUP(Vulnerabilities!C115,Assets!A:C,2,FALSE),"")</x:f>
      </x:c>
      <x:c r="E115" s="25" t="str">
        <x:f>_xlfn.IFNA(VLOOKUP(Vulnerabilities!C115,Assets!A:C,3,FALSE),"")</x:f>
      </x:c>
      <x:c r="G115" s="26" t="str">
        <x:f t="shared" si="1"/>
      </x:c>
      <x:c r="K115" s="26" t="str">
        <x:f>_xlfn.IFNA(VLOOKUP(_xlfn.CONCAT(I115,"|",J115),RiskValues!C:D,2,FALSE),"")</x:f>
      </x:c>
    </x:row>
    <x:row r="116">
      <x:c r="B116" s="25" t="str">
        <x:f>_xlfn.IFNA(VLOOKUP(A116,InfoSecThreats!A:B,2,FALSE),"")</x:f>
      </x:c>
      <x:c r="D116" s="25" t="str">
        <x:f>_xlfn.IFNA(VLOOKUP(Vulnerabilities!C116,Assets!A:C,2,FALSE),"")</x:f>
      </x:c>
      <x:c r="E116" s="25" t="str">
        <x:f>_xlfn.IFNA(VLOOKUP(Vulnerabilities!C116,Assets!A:C,3,FALSE),"")</x:f>
      </x:c>
      <x:c r="G116" s="26" t="str">
        <x:f t="shared" si="1"/>
      </x:c>
      <x:c r="K116" s="26" t="str">
        <x:f>_xlfn.IFNA(VLOOKUP(_xlfn.CONCAT(I116,"|",J116),RiskValues!C:D,2,FALSE),"")</x:f>
      </x:c>
    </x:row>
    <x:row r="117">
      <x:c r="B117" s="25" t="str">
        <x:f>_xlfn.IFNA(VLOOKUP(A117,InfoSecThreats!A:B,2,FALSE),"")</x:f>
      </x:c>
      <x:c r="D117" s="25" t="str">
        <x:f>_xlfn.IFNA(VLOOKUP(Vulnerabilities!C117,Assets!A:C,2,FALSE),"")</x:f>
      </x:c>
      <x:c r="E117" s="25" t="str">
        <x:f>_xlfn.IFNA(VLOOKUP(Vulnerabilities!C117,Assets!A:C,3,FALSE),"")</x:f>
      </x:c>
      <x:c r="G117" s="26" t="str">
        <x:f t="shared" si="1"/>
      </x:c>
      <x:c r="K117" s="26" t="str">
        <x:f>_xlfn.IFNA(VLOOKUP(_xlfn.CONCAT(I117,"|",J117),RiskValues!C:D,2,FALSE),"")</x:f>
      </x:c>
    </x:row>
    <x:row r="118">
      <x:c r="B118" s="25" t="str">
        <x:f>_xlfn.IFNA(VLOOKUP(A118,InfoSecThreats!A:B,2,FALSE),"")</x:f>
      </x:c>
      <x:c r="D118" s="25" t="str">
        <x:f>_xlfn.IFNA(VLOOKUP(Vulnerabilities!C118,Assets!A:C,2,FALSE),"")</x:f>
      </x:c>
      <x:c r="E118" s="25" t="str">
        <x:f>_xlfn.IFNA(VLOOKUP(Vulnerabilities!C118,Assets!A:C,3,FALSE),"")</x:f>
      </x:c>
      <x:c r="G118" s="26" t="str">
        <x:f t="shared" si="1"/>
      </x:c>
      <x:c r="K118" s="26" t="str">
        <x:f>_xlfn.IFNA(VLOOKUP(_xlfn.CONCAT(I118,"|",J118),RiskValues!C:D,2,FALSE),"")</x:f>
      </x:c>
    </x:row>
    <x:row r="119">
      <x:c r="B119" s="25" t="str">
        <x:f>_xlfn.IFNA(VLOOKUP(A119,InfoSecThreats!A:B,2,FALSE),"")</x:f>
      </x:c>
      <x:c r="D119" s="25" t="str">
        <x:f>_xlfn.IFNA(VLOOKUP(Vulnerabilities!C119,Assets!A:C,2,FALSE),"")</x:f>
      </x:c>
      <x:c r="E119" s="25" t="str">
        <x:f>_xlfn.IFNA(VLOOKUP(Vulnerabilities!C119,Assets!A:C,3,FALSE),"")</x:f>
      </x:c>
      <x:c r="G119" s="26" t="str">
        <x:f t="shared" si="1"/>
      </x:c>
      <x:c r="K119" s="26" t="str">
        <x:f>_xlfn.IFNA(VLOOKUP(_xlfn.CONCAT(I119,"|",J119),RiskValues!C:D,2,FALSE),"")</x:f>
      </x:c>
    </x:row>
    <x:row r="120">
      <x:c r="B120" s="25" t="str">
        <x:f>_xlfn.IFNA(VLOOKUP(A120,InfoSecThreats!A:B,2,FALSE),"")</x:f>
      </x:c>
      <x:c r="D120" s="25" t="str">
        <x:f>_xlfn.IFNA(VLOOKUP(Vulnerabilities!C120,Assets!A:C,2,FALSE),"")</x:f>
      </x:c>
      <x:c r="E120" s="25" t="str">
        <x:f>_xlfn.IFNA(VLOOKUP(Vulnerabilities!C120,Assets!A:C,3,FALSE),"")</x:f>
      </x:c>
      <x:c r="G120" s="26" t="str">
        <x:f t="shared" si="1"/>
      </x:c>
      <x:c r="K120" s="26" t="str">
        <x:f>_xlfn.IFNA(VLOOKUP(_xlfn.CONCAT(I120,"|",J120),RiskValues!C:D,2,FALSE),"")</x:f>
      </x:c>
    </x:row>
    <x:row r="121">
      <x:c r="B121" s="25" t="str">
        <x:f>_xlfn.IFNA(VLOOKUP(A121,InfoSecThreats!A:B,2,FALSE),"")</x:f>
      </x:c>
      <x:c r="D121" s="25" t="str">
        <x:f>_xlfn.IFNA(VLOOKUP(Vulnerabilities!C121,Assets!A:C,2,FALSE),"")</x:f>
      </x:c>
      <x:c r="E121" s="25" t="str">
        <x:f>_xlfn.IFNA(VLOOKUP(Vulnerabilities!C121,Assets!A:C,3,FALSE),"")</x:f>
      </x:c>
      <x:c r="G121" s="26" t="str">
        <x:f t="shared" si="1"/>
      </x:c>
      <x:c r="K121" s="26" t="str">
        <x:f>_xlfn.IFNA(VLOOKUP(_xlfn.CONCAT(I121,"|",J121),RiskValues!C:D,2,FALSE),"")</x:f>
      </x:c>
    </x:row>
    <x:row r="122">
      <x:c r="B122" s="25" t="str">
        <x:f>_xlfn.IFNA(VLOOKUP(A122,InfoSecThreats!A:B,2,FALSE),"")</x:f>
      </x:c>
      <x:c r="D122" s="25" t="str">
        <x:f>_xlfn.IFNA(VLOOKUP(Vulnerabilities!C122,Assets!A:C,2,FALSE),"")</x:f>
      </x:c>
      <x:c r="E122" s="25" t="str">
        <x:f>_xlfn.IFNA(VLOOKUP(Vulnerabilities!C122,Assets!A:C,3,FALSE),"")</x:f>
      </x:c>
      <x:c r="G122" s="26" t="str">
        <x:f t="shared" si="1"/>
      </x:c>
      <x:c r="K122" s="26" t="str">
        <x:f>_xlfn.IFNA(VLOOKUP(_xlfn.CONCAT(I122,"|",J122),RiskValues!C:D,2,FALSE),"")</x:f>
      </x:c>
    </x:row>
    <x:row r="123">
      <x:c r="B123" s="25" t="str">
        <x:f>_xlfn.IFNA(VLOOKUP(A123,InfoSecThreats!A:B,2,FALSE),"")</x:f>
      </x:c>
      <x:c r="D123" s="25" t="str">
        <x:f>_xlfn.IFNA(VLOOKUP(Vulnerabilities!C123,Assets!A:C,2,FALSE),"")</x:f>
      </x:c>
      <x:c r="E123" s="25" t="str">
        <x:f>_xlfn.IFNA(VLOOKUP(Vulnerabilities!C123,Assets!A:C,3,FALSE),"")</x:f>
      </x:c>
      <x:c r="G123" s="26" t="str">
        <x:f t="shared" si="1"/>
      </x:c>
      <x:c r="K123" s="26" t="str">
        <x:f>_xlfn.IFNA(VLOOKUP(_xlfn.CONCAT(I123,"|",J123),RiskValues!C:D,2,FALSE),"")</x:f>
      </x:c>
    </x:row>
    <x:row r="124">
      <x:c r="B124" s="25" t="str">
        <x:f>_xlfn.IFNA(VLOOKUP(A124,InfoSecThreats!A:B,2,FALSE),"")</x:f>
      </x:c>
      <x:c r="D124" s="25" t="str">
        <x:f>_xlfn.IFNA(VLOOKUP(Vulnerabilities!C124,Assets!A:C,2,FALSE),"")</x:f>
      </x:c>
      <x:c r="E124" s="25" t="str">
        <x:f>_xlfn.IFNA(VLOOKUP(Vulnerabilities!C124,Assets!A:C,3,FALSE),"")</x:f>
      </x:c>
      <x:c r="G124" s="26" t="str">
        <x:f t="shared" si="1"/>
      </x:c>
      <x:c r="K124" s="26" t="str">
        <x:f>_xlfn.IFNA(VLOOKUP(_xlfn.CONCAT(I124,"|",J124),RiskValues!C:D,2,FALSE),"")</x:f>
      </x:c>
    </x:row>
    <x:row r="125">
      <x:c r="B125" s="25" t="str">
        <x:f>_xlfn.IFNA(VLOOKUP(A125,InfoSecThreats!A:B,2,FALSE),"")</x:f>
      </x:c>
      <x:c r="D125" s="25" t="str">
        <x:f>_xlfn.IFNA(VLOOKUP(Vulnerabilities!C125,Assets!A:C,2,FALSE),"")</x:f>
      </x:c>
      <x:c r="E125" s="25" t="str">
        <x:f>_xlfn.IFNA(VLOOKUP(Vulnerabilities!C125,Assets!A:C,3,FALSE),"")</x:f>
      </x:c>
      <x:c r="G125" s="26" t="str">
        <x:f t="shared" si="1"/>
      </x:c>
      <x:c r="K125" s="26" t="str">
        <x:f>_xlfn.IFNA(VLOOKUP(_xlfn.CONCAT(I125,"|",J125),RiskValues!C:D,2,FALSE),"")</x:f>
      </x:c>
    </x:row>
    <x:row r="126">
      <x:c r="B126" s="25" t="str">
        <x:f>_xlfn.IFNA(VLOOKUP(A126,InfoSecThreats!A:B,2,FALSE),"")</x:f>
      </x:c>
      <x:c r="D126" s="25" t="str">
        <x:f>_xlfn.IFNA(VLOOKUP(Vulnerabilities!C126,Assets!A:C,2,FALSE),"")</x:f>
      </x:c>
      <x:c r="E126" s="25" t="str">
        <x:f>_xlfn.IFNA(VLOOKUP(Vulnerabilities!C126,Assets!A:C,3,FALSE),"")</x:f>
      </x:c>
      <x:c r="G126" s="26" t="str">
        <x:f t="shared" si="1"/>
      </x:c>
      <x:c r="K126" s="26" t="str">
        <x:f>_xlfn.IFNA(VLOOKUP(_xlfn.CONCAT(I126,"|",J126),RiskValues!C:D,2,FALSE),"")</x:f>
      </x:c>
    </x:row>
    <x:row r="127">
      <x:c r="B127" s="25" t="str">
        <x:f>_xlfn.IFNA(VLOOKUP(A127,InfoSecThreats!A:B,2,FALSE),"")</x:f>
      </x:c>
      <x:c r="D127" s="25" t="str">
        <x:f>_xlfn.IFNA(VLOOKUP(Vulnerabilities!C127,Assets!A:C,2,FALSE),"")</x:f>
      </x:c>
      <x:c r="E127" s="25" t="str">
        <x:f>_xlfn.IFNA(VLOOKUP(Vulnerabilities!C127,Assets!A:C,3,FALSE),"")</x:f>
      </x:c>
      <x:c r="G127" s="26" t="str">
        <x:f t="shared" si="1"/>
      </x:c>
      <x:c r="K127" s="26" t="str">
        <x:f>_xlfn.IFNA(VLOOKUP(_xlfn.CONCAT(I127,"|",J127),RiskValues!C:D,2,FALSE),"")</x:f>
      </x:c>
    </x:row>
    <x:row r="128">
      <x:c r="B128" s="25" t="str">
        <x:f>_xlfn.IFNA(VLOOKUP(A128,InfoSecThreats!A:B,2,FALSE),"")</x:f>
      </x:c>
      <x:c r="D128" s="25" t="str">
        <x:f>_xlfn.IFNA(VLOOKUP(Vulnerabilities!C128,Assets!A:C,2,FALSE),"")</x:f>
      </x:c>
      <x:c r="E128" s="25" t="str">
        <x:f>_xlfn.IFNA(VLOOKUP(Vulnerabilities!C128,Assets!A:C,3,FALSE),"")</x:f>
      </x:c>
      <x:c r="G128" s="26" t="str">
        <x:f t="shared" si="1"/>
      </x:c>
      <x:c r="K128" s="26" t="str">
        <x:f>_xlfn.IFNA(VLOOKUP(_xlfn.CONCAT(I128,"|",J128),RiskValues!C:D,2,FALSE),"")</x:f>
      </x:c>
    </x:row>
    <x:row r="129">
      <x:c r="B129" s="25" t="str">
        <x:f>_xlfn.IFNA(VLOOKUP(A129,InfoSecThreats!A:B,2,FALSE),"")</x:f>
      </x:c>
      <x:c r="D129" s="25" t="str">
        <x:f>_xlfn.IFNA(VLOOKUP(Vulnerabilities!C129,Assets!A:C,2,FALSE),"")</x:f>
      </x:c>
      <x:c r="E129" s="25" t="str">
        <x:f>_xlfn.IFNA(VLOOKUP(Vulnerabilities!C129,Assets!A:C,3,FALSE),"")</x:f>
      </x:c>
      <x:c r="G129" s="26" t="str">
        <x:f t="shared" si="1"/>
      </x:c>
      <x:c r="K129" s="26" t="str">
        <x:f>_xlfn.IFNA(VLOOKUP(_xlfn.CONCAT(I129,"|",J129),RiskValues!C:D,2,FALSE),"")</x:f>
      </x:c>
    </x:row>
    <x:row r="130">
      <x:c r="B130" s="25" t="str">
        <x:f>_xlfn.IFNA(VLOOKUP(A130,InfoSecThreats!A:B,2,FALSE),"")</x:f>
      </x:c>
      <x:c r="D130" s="25" t="str">
        <x:f>_xlfn.IFNA(VLOOKUP(Vulnerabilities!C130,Assets!A:C,2,FALSE),"")</x:f>
      </x:c>
      <x:c r="E130" s="25" t="str">
        <x:f>_xlfn.IFNA(VLOOKUP(Vulnerabilities!C130,Assets!A:C,3,FALSE),"")</x:f>
      </x:c>
      <x:c r="G130" s="26" t="str">
        <x:f t="shared" si="1"/>
      </x:c>
      <x:c r="K130" s="26" t="str">
        <x:f>_xlfn.IFNA(VLOOKUP(_xlfn.CONCAT(I130,"|",J130),RiskValues!C:D,2,FALSE),"")</x:f>
      </x:c>
    </x:row>
    <x:row r="131">
      <x:c r="B131" s="25" t="str">
        <x:f>_xlfn.IFNA(VLOOKUP(A131,InfoSecThreats!A:B,2,FALSE),"")</x:f>
      </x:c>
      <x:c r="D131" s="25" t="str">
        <x:f>_xlfn.IFNA(VLOOKUP(Vulnerabilities!C131,Assets!A:C,2,FALSE),"")</x:f>
      </x:c>
      <x:c r="E131" s="25" t="str">
        <x:f>_xlfn.IFNA(VLOOKUP(Vulnerabilities!C131,Assets!A:C,3,FALSE),"")</x:f>
      </x:c>
      <x:c r="G131" s="26" t="str">
        <x:f t="shared" ref="G131:G194" si="2">IF(ISBLANK(F131),"",_xlfn.CONCAT("T",A131,"V",F131,"A",C131))</x:f>
      </x:c>
      <x:c r="K131" s="26" t="str">
        <x:f>_xlfn.IFNA(VLOOKUP(_xlfn.CONCAT(I131,"|",J131),RiskValues!C:D,2,FALSE),"")</x:f>
      </x:c>
    </x:row>
    <x:row r="132">
      <x:c r="B132" s="25" t="str">
        <x:f>_xlfn.IFNA(VLOOKUP(A132,InfoSecThreats!A:B,2,FALSE),"")</x:f>
      </x:c>
      <x:c r="D132" s="25" t="str">
        <x:f>_xlfn.IFNA(VLOOKUP(Vulnerabilities!C132,Assets!A:C,2,FALSE),"")</x:f>
      </x:c>
      <x:c r="E132" s="25" t="str">
        <x:f>_xlfn.IFNA(VLOOKUP(Vulnerabilities!C132,Assets!A:C,3,FALSE),"")</x:f>
      </x:c>
      <x:c r="G132" s="26" t="str">
        <x:f t="shared" si="2"/>
      </x:c>
      <x:c r="K132" s="26" t="str">
        <x:f>_xlfn.IFNA(VLOOKUP(_xlfn.CONCAT(I132,"|",J132),RiskValues!C:D,2,FALSE),"")</x:f>
      </x:c>
    </x:row>
    <x:row r="133">
      <x:c r="B133" s="25" t="str">
        <x:f>_xlfn.IFNA(VLOOKUP(A133,InfoSecThreats!A:B,2,FALSE),"")</x:f>
      </x:c>
      <x:c r="D133" s="25" t="str">
        <x:f>_xlfn.IFNA(VLOOKUP(Vulnerabilities!C133,Assets!A:C,2,FALSE),"")</x:f>
      </x:c>
      <x:c r="E133" s="25" t="str">
        <x:f>_xlfn.IFNA(VLOOKUP(Vulnerabilities!C133,Assets!A:C,3,FALSE),"")</x:f>
      </x:c>
      <x:c r="G133" s="26" t="str">
        <x:f t="shared" si="2"/>
      </x:c>
      <x:c r="K133" s="26" t="str">
        <x:f>_xlfn.IFNA(VLOOKUP(_xlfn.CONCAT(I133,"|",J133),RiskValues!C:D,2,FALSE),"")</x:f>
      </x:c>
    </x:row>
    <x:row r="134">
      <x:c r="B134" s="25" t="str">
        <x:f>_xlfn.IFNA(VLOOKUP(A134,InfoSecThreats!A:B,2,FALSE),"")</x:f>
      </x:c>
      <x:c r="D134" s="25" t="str">
        <x:f>_xlfn.IFNA(VLOOKUP(Vulnerabilities!C134,Assets!A:C,2,FALSE),"")</x:f>
      </x:c>
      <x:c r="E134" s="25" t="str">
        <x:f>_xlfn.IFNA(VLOOKUP(Vulnerabilities!C134,Assets!A:C,3,FALSE),"")</x:f>
      </x:c>
      <x:c r="G134" s="26" t="str">
        <x:f t="shared" si="2"/>
      </x:c>
      <x:c r="K134" s="26" t="str">
        <x:f>_xlfn.IFNA(VLOOKUP(_xlfn.CONCAT(I134,"|",J134),RiskValues!C:D,2,FALSE),"")</x:f>
      </x:c>
    </x:row>
    <x:row r="135">
      <x:c r="B135" s="25" t="str">
        <x:f>_xlfn.IFNA(VLOOKUP(A135,InfoSecThreats!A:B,2,FALSE),"")</x:f>
      </x:c>
      <x:c r="D135" s="25" t="str">
        <x:f>_xlfn.IFNA(VLOOKUP(Vulnerabilities!C135,Assets!A:C,2,FALSE),"")</x:f>
      </x:c>
      <x:c r="E135" s="25" t="str">
        <x:f>_xlfn.IFNA(VLOOKUP(Vulnerabilities!C135,Assets!A:C,3,FALSE),"")</x:f>
      </x:c>
      <x:c r="G135" s="26" t="str">
        <x:f t="shared" si="2"/>
      </x:c>
      <x:c r="K135" s="26" t="str">
        <x:f>_xlfn.IFNA(VLOOKUP(_xlfn.CONCAT(I135,"|",J135),RiskValues!C:D,2,FALSE),"")</x:f>
      </x:c>
    </x:row>
    <x:row r="136">
      <x:c r="B136" s="25" t="str">
        <x:f>_xlfn.IFNA(VLOOKUP(A136,InfoSecThreats!A:B,2,FALSE),"")</x:f>
      </x:c>
      <x:c r="D136" s="25" t="str">
        <x:f>_xlfn.IFNA(VLOOKUP(Vulnerabilities!C136,Assets!A:C,2,FALSE),"")</x:f>
      </x:c>
      <x:c r="E136" s="25" t="str">
        <x:f>_xlfn.IFNA(VLOOKUP(Vulnerabilities!C136,Assets!A:C,3,FALSE),"")</x:f>
      </x:c>
      <x:c r="G136" s="26" t="str">
        <x:f t="shared" si="2"/>
      </x:c>
      <x:c r="K136" s="26" t="str">
        <x:f>_xlfn.IFNA(VLOOKUP(_xlfn.CONCAT(I136,"|",J136),RiskValues!C:D,2,FALSE),"")</x:f>
      </x:c>
    </x:row>
    <x:row r="137">
      <x:c r="B137" s="25" t="str">
        <x:f>_xlfn.IFNA(VLOOKUP(A137,InfoSecThreats!A:B,2,FALSE),"")</x:f>
      </x:c>
      <x:c r="D137" s="25" t="str">
        <x:f>_xlfn.IFNA(VLOOKUP(Vulnerabilities!C137,Assets!A:C,2,FALSE),"")</x:f>
      </x:c>
      <x:c r="E137" s="25" t="str">
        <x:f>_xlfn.IFNA(VLOOKUP(Vulnerabilities!C137,Assets!A:C,3,FALSE),"")</x:f>
      </x:c>
      <x:c r="G137" s="26" t="str">
        <x:f t="shared" si="2"/>
      </x:c>
      <x:c r="K137" s="26" t="str">
        <x:f>_xlfn.IFNA(VLOOKUP(_xlfn.CONCAT(I137,"|",J137),RiskValues!C:D,2,FALSE),"")</x:f>
      </x:c>
    </x:row>
    <x:row r="138">
      <x:c r="B138" s="25" t="str">
        <x:f>_xlfn.IFNA(VLOOKUP(A138,InfoSecThreats!A:B,2,FALSE),"")</x:f>
      </x:c>
      <x:c r="D138" s="25" t="str">
        <x:f>_xlfn.IFNA(VLOOKUP(Vulnerabilities!C138,Assets!A:C,2,FALSE),"")</x:f>
      </x:c>
      <x:c r="E138" s="25" t="str">
        <x:f>_xlfn.IFNA(VLOOKUP(Vulnerabilities!C138,Assets!A:C,3,FALSE),"")</x:f>
      </x:c>
      <x:c r="G138" s="26" t="str">
        <x:f t="shared" si="2"/>
      </x:c>
      <x:c r="K138" s="26" t="str">
        <x:f>_xlfn.IFNA(VLOOKUP(_xlfn.CONCAT(I138,"|",J138),RiskValues!C:D,2,FALSE),"")</x:f>
      </x:c>
    </x:row>
    <x:row r="139">
      <x:c r="B139" s="25" t="str">
        <x:f>_xlfn.IFNA(VLOOKUP(A139,InfoSecThreats!A:B,2,FALSE),"")</x:f>
      </x:c>
      <x:c r="D139" s="25" t="str">
        <x:f>_xlfn.IFNA(VLOOKUP(Vulnerabilities!C139,Assets!A:C,2,FALSE),"")</x:f>
      </x:c>
      <x:c r="E139" s="25" t="str">
        <x:f>_xlfn.IFNA(VLOOKUP(Vulnerabilities!C139,Assets!A:C,3,FALSE),"")</x:f>
      </x:c>
      <x:c r="G139" s="26" t="str">
        <x:f t="shared" si="2"/>
      </x:c>
      <x:c r="K139" s="26" t="str">
        <x:f>_xlfn.IFNA(VLOOKUP(_xlfn.CONCAT(I139,"|",J139),RiskValues!C:D,2,FALSE),"")</x:f>
      </x:c>
    </x:row>
    <x:row r="140">
      <x:c r="B140" s="25" t="str">
        <x:f>_xlfn.IFNA(VLOOKUP(A140,InfoSecThreats!A:B,2,FALSE),"")</x:f>
      </x:c>
      <x:c r="D140" s="25" t="str">
        <x:f>_xlfn.IFNA(VLOOKUP(Vulnerabilities!C140,Assets!A:C,2,FALSE),"")</x:f>
      </x:c>
      <x:c r="E140" s="25" t="str">
        <x:f>_xlfn.IFNA(VLOOKUP(Vulnerabilities!C140,Assets!A:C,3,FALSE),"")</x:f>
      </x:c>
      <x:c r="G140" s="26" t="str">
        <x:f t="shared" si="2"/>
      </x:c>
      <x:c r="K140" s="26" t="str">
        <x:f>_xlfn.IFNA(VLOOKUP(_xlfn.CONCAT(I140,"|",J140),RiskValues!C:D,2,FALSE),"")</x:f>
      </x:c>
    </x:row>
    <x:row r="141">
      <x:c r="B141" s="25" t="str">
        <x:f>_xlfn.IFNA(VLOOKUP(A141,InfoSecThreats!A:B,2,FALSE),"")</x:f>
      </x:c>
      <x:c r="D141" s="25" t="str">
        <x:f>_xlfn.IFNA(VLOOKUP(Vulnerabilities!C141,Assets!A:C,2,FALSE),"")</x:f>
      </x:c>
      <x:c r="E141" s="25" t="str">
        <x:f>_xlfn.IFNA(VLOOKUP(Vulnerabilities!C141,Assets!A:C,3,FALSE),"")</x:f>
      </x:c>
      <x:c r="G141" s="26" t="str">
        <x:f t="shared" si="2"/>
      </x:c>
      <x:c r="K141" s="26" t="str">
        <x:f>_xlfn.IFNA(VLOOKUP(_xlfn.CONCAT(I141,"|",J141),RiskValues!C:D,2,FALSE),"")</x:f>
      </x:c>
    </x:row>
    <x:row r="142">
      <x:c r="B142" s="25" t="str">
        <x:f>_xlfn.IFNA(VLOOKUP(A142,InfoSecThreats!A:B,2,FALSE),"")</x:f>
      </x:c>
      <x:c r="D142" s="25" t="str">
        <x:f>_xlfn.IFNA(VLOOKUP(Vulnerabilities!C142,Assets!A:C,2,FALSE),"")</x:f>
      </x:c>
      <x:c r="E142" s="25" t="str">
        <x:f>_xlfn.IFNA(VLOOKUP(Vulnerabilities!C142,Assets!A:C,3,FALSE),"")</x:f>
      </x:c>
      <x:c r="G142" s="26" t="str">
        <x:f t="shared" si="2"/>
      </x:c>
      <x:c r="K142" s="26" t="str">
        <x:f>_xlfn.IFNA(VLOOKUP(_xlfn.CONCAT(I142,"|",J142),RiskValues!C:D,2,FALSE),"")</x:f>
      </x:c>
    </x:row>
    <x:row r="143">
      <x:c r="B143" s="25" t="str">
        <x:f>_xlfn.IFNA(VLOOKUP(A143,InfoSecThreats!A:B,2,FALSE),"")</x:f>
      </x:c>
      <x:c r="D143" s="25" t="str">
        <x:f>_xlfn.IFNA(VLOOKUP(Vulnerabilities!C143,Assets!A:C,2,FALSE),"")</x:f>
      </x:c>
      <x:c r="E143" s="25" t="str">
        <x:f>_xlfn.IFNA(VLOOKUP(Vulnerabilities!C143,Assets!A:C,3,FALSE),"")</x:f>
      </x:c>
      <x:c r="G143" s="26" t="str">
        <x:f t="shared" si="2"/>
      </x:c>
      <x:c r="K143" s="26" t="str">
        <x:f>_xlfn.IFNA(VLOOKUP(_xlfn.CONCAT(I143,"|",J143),RiskValues!C:D,2,FALSE),"")</x:f>
      </x:c>
    </x:row>
    <x:row r="144">
      <x:c r="B144" s="25" t="str">
        <x:f>_xlfn.IFNA(VLOOKUP(A144,InfoSecThreats!A:B,2,FALSE),"")</x:f>
      </x:c>
      <x:c r="D144" s="25" t="str">
        <x:f>_xlfn.IFNA(VLOOKUP(Vulnerabilities!C144,Assets!A:C,2,FALSE),"")</x:f>
      </x:c>
      <x:c r="E144" s="25" t="str">
        <x:f>_xlfn.IFNA(VLOOKUP(Vulnerabilities!C144,Assets!A:C,3,FALSE),"")</x:f>
      </x:c>
      <x:c r="G144" s="26" t="str">
        <x:f t="shared" si="2"/>
      </x:c>
      <x:c r="K144" s="26" t="str">
        <x:f>_xlfn.IFNA(VLOOKUP(_xlfn.CONCAT(I144,"|",J144),RiskValues!C:D,2,FALSE),"")</x:f>
      </x:c>
    </x:row>
    <x:row r="145">
      <x:c r="B145" s="25" t="str">
        <x:f>_xlfn.IFNA(VLOOKUP(A145,InfoSecThreats!A:B,2,FALSE),"")</x:f>
      </x:c>
      <x:c r="D145" s="25" t="str">
        <x:f>_xlfn.IFNA(VLOOKUP(Vulnerabilities!C145,Assets!A:C,2,FALSE),"")</x:f>
      </x:c>
      <x:c r="E145" s="25" t="str">
        <x:f>_xlfn.IFNA(VLOOKUP(Vulnerabilities!C145,Assets!A:C,3,FALSE),"")</x:f>
      </x:c>
      <x:c r="G145" s="26" t="str">
        <x:f t="shared" si="2"/>
      </x:c>
      <x:c r="K145" s="26" t="str">
        <x:f>_xlfn.IFNA(VLOOKUP(_xlfn.CONCAT(I145,"|",J145),RiskValues!C:D,2,FALSE),"")</x:f>
      </x:c>
    </x:row>
    <x:row r="146">
      <x:c r="B146" s="25" t="str">
        <x:f>_xlfn.IFNA(VLOOKUP(A146,InfoSecThreats!A:B,2,FALSE),"")</x:f>
      </x:c>
      <x:c r="D146" s="25" t="str">
        <x:f>_xlfn.IFNA(VLOOKUP(Vulnerabilities!C146,Assets!A:C,2,FALSE),"")</x:f>
      </x:c>
      <x:c r="E146" s="25" t="str">
        <x:f>_xlfn.IFNA(VLOOKUP(Vulnerabilities!C146,Assets!A:C,3,FALSE),"")</x:f>
      </x:c>
      <x:c r="G146" s="26" t="str">
        <x:f t="shared" si="2"/>
      </x:c>
      <x:c r="K146" s="26" t="str">
        <x:f>_xlfn.IFNA(VLOOKUP(_xlfn.CONCAT(I146,"|",J146),RiskValues!C:D,2,FALSE),"")</x:f>
      </x:c>
    </x:row>
    <x:row r="147">
      <x:c r="B147" s="25" t="str">
        <x:f>_xlfn.IFNA(VLOOKUP(A147,InfoSecThreats!A:B,2,FALSE),"")</x:f>
      </x:c>
      <x:c r="D147" s="25" t="str">
        <x:f>_xlfn.IFNA(VLOOKUP(Vulnerabilities!C147,Assets!A:C,2,FALSE),"")</x:f>
      </x:c>
      <x:c r="E147" s="25" t="str">
        <x:f>_xlfn.IFNA(VLOOKUP(Vulnerabilities!C147,Assets!A:C,3,FALSE),"")</x:f>
      </x:c>
      <x:c r="G147" s="26" t="str">
        <x:f t="shared" si="2"/>
      </x:c>
      <x:c r="K147" s="26" t="str">
        <x:f>_xlfn.IFNA(VLOOKUP(_xlfn.CONCAT(I147,"|",J147),RiskValues!C:D,2,FALSE),"")</x:f>
      </x:c>
    </x:row>
    <x:row r="148">
      <x:c r="B148" s="25" t="str">
        <x:f>_xlfn.IFNA(VLOOKUP(A148,InfoSecThreats!A:B,2,FALSE),"")</x:f>
      </x:c>
      <x:c r="D148" s="25" t="str">
        <x:f>_xlfn.IFNA(VLOOKUP(Vulnerabilities!C148,Assets!A:C,2,FALSE),"")</x:f>
      </x:c>
      <x:c r="E148" s="25" t="str">
        <x:f>_xlfn.IFNA(VLOOKUP(Vulnerabilities!C148,Assets!A:C,3,FALSE),"")</x:f>
      </x:c>
      <x:c r="G148" s="26" t="str">
        <x:f t="shared" si="2"/>
      </x:c>
      <x:c r="K148" s="26" t="str">
        <x:f>_xlfn.IFNA(VLOOKUP(_xlfn.CONCAT(I148,"|",J148),RiskValues!C:D,2,FALSE),"")</x:f>
      </x:c>
    </x:row>
    <x:row r="149">
      <x:c r="B149" s="25" t="str">
        <x:f>_xlfn.IFNA(VLOOKUP(A149,InfoSecThreats!A:B,2,FALSE),"")</x:f>
      </x:c>
      <x:c r="D149" s="25" t="str">
        <x:f>_xlfn.IFNA(VLOOKUP(Vulnerabilities!C149,Assets!A:C,2,FALSE),"")</x:f>
      </x:c>
      <x:c r="E149" s="25" t="str">
        <x:f>_xlfn.IFNA(VLOOKUP(Vulnerabilities!C149,Assets!A:C,3,FALSE),"")</x:f>
      </x:c>
      <x:c r="G149" s="26" t="str">
        <x:f t="shared" si="2"/>
      </x:c>
      <x:c r="K149" s="26" t="str">
        <x:f>_xlfn.IFNA(VLOOKUP(_xlfn.CONCAT(I149,"|",J149),RiskValues!C:D,2,FALSE),"")</x:f>
      </x:c>
    </x:row>
    <x:row r="150">
      <x:c r="B150" s="25" t="str">
        <x:f>_xlfn.IFNA(VLOOKUP(A150,InfoSecThreats!A:B,2,FALSE),"")</x:f>
      </x:c>
      <x:c r="D150" s="25" t="str">
        <x:f>_xlfn.IFNA(VLOOKUP(Vulnerabilities!C150,Assets!A:C,2,FALSE),"")</x:f>
      </x:c>
      <x:c r="E150" s="25" t="str">
        <x:f>_xlfn.IFNA(VLOOKUP(Vulnerabilities!C150,Assets!A:C,3,FALSE),"")</x:f>
      </x:c>
      <x:c r="G150" s="26" t="str">
        <x:f t="shared" si="2"/>
      </x:c>
      <x:c r="K150" s="26" t="str">
        <x:f>_xlfn.IFNA(VLOOKUP(_xlfn.CONCAT(I150,"|",J150),RiskValues!C:D,2,FALSE),"")</x:f>
      </x:c>
    </x:row>
    <x:row r="151">
      <x:c r="B151" s="25" t="str">
        <x:f>_xlfn.IFNA(VLOOKUP(A151,InfoSecThreats!A:B,2,FALSE),"")</x:f>
      </x:c>
      <x:c r="D151" s="25" t="str">
        <x:f>_xlfn.IFNA(VLOOKUP(Vulnerabilities!C151,Assets!A:C,2,FALSE),"")</x:f>
      </x:c>
      <x:c r="E151" s="25" t="str">
        <x:f>_xlfn.IFNA(VLOOKUP(Vulnerabilities!C151,Assets!A:C,3,FALSE),"")</x:f>
      </x:c>
      <x:c r="G151" s="26" t="str">
        <x:f t="shared" si="2"/>
      </x:c>
      <x:c r="K151" s="26" t="str">
        <x:f>_xlfn.IFNA(VLOOKUP(_xlfn.CONCAT(I151,"|",J151),RiskValues!C:D,2,FALSE),"")</x:f>
      </x:c>
    </x:row>
    <x:row r="152">
      <x:c r="B152" s="25" t="str">
        <x:f>_xlfn.IFNA(VLOOKUP(A152,InfoSecThreats!A:B,2,FALSE),"")</x:f>
      </x:c>
      <x:c r="D152" s="25" t="str">
        <x:f>_xlfn.IFNA(VLOOKUP(Vulnerabilities!C152,Assets!A:C,2,FALSE),"")</x:f>
      </x:c>
      <x:c r="E152" s="25" t="str">
        <x:f>_xlfn.IFNA(VLOOKUP(Vulnerabilities!C152,Assets!A:C,3,FALSE),"")</x:f>
      </x:c>
      <x:c r="G152" s="26" t="str">
        <x:f t="shared" si="2"/>
      </x:c>
      <x:c r="K152" s="26" t="str">
        <x:f>_xlfn.IFNA(VLOOKUP(_xlfn.CONCAT(I152,"|",J152),RiskValues!C:D,2,FALSE),"")</x:f>
      </x:c>
    </x:row>
    <x:row r="153">
      <x:c r="B153" s="25" t="str">
        <x:f>_xlfn.IFNA(VLOOKUP(A153,InfoSecThreats!A:B,2,FALSE),"")</x:f>
      </x:c>
      <x:c r="D153" s="25" t="str">
        <x:f>_xlfn.IFNA(VLOOKUP(Vulnerabilities!C153,Assets!A:C,2,FALSE),"")</x:f>
      </x:c>
      <x:c r="E153" s="25" t="str">
        <x:f>_xlfn.IFNA(VLOOKUP(Vulnerabilities!C153,Assets!A:C,3,FALSE),"")</x:f>
      </x:c>
      <x:c r="G153" s="26" t="str">
        <x:f t="shared" si="2"/>
      </x:c>
      <x:c r="K153" s="26" t="str">
        <x:f>_xlfn.IFNA(VLOOKUP(_xlfn.CONCAT(I153,"|",J153),RiskValues!C:D,2,FALSE),"")</x:f>
      </x:c>
    </x:row>
    <x:row r="154">
      <x:c r="B154" s="25" t="str">
        <x:f>_xlfn.IFNA(VLOOKUP(A154,InfoSecThreats!A:B,2,FALSE),"")</x:f>
      </x:c>
      <x:c r="D154" s="25" t="str">
        <x:f>_xlfn.IFNA(VLOOKUP(Vulnerabilities!C154,Assets!A:C,2,FALSE),"")</x:f>
      </x:c>
      <x:c r="E154" s="25" t="str">
        <x:f>_xlfn.IFNA(VLOOKUP(Vulnerabilities!C154,Assets!A:C,3,FALSE),"")</x:f>
      </x:c>
      <x:c r="G154" s="26" t="str">
        <x:f t="shared" si="2"/>
      </x:c>
      <x:c r="K154" s="26" t="str">
        <x:f>_xlfn.IFNA(VLOOKUP(_xlfn.CONCAT(I154,"|",J154),RiskValues!C:D,2,FALSE),"")</x:f>
      </x:c>
    </x:row>
    <x:row r="155">
      <x:c r="B155" s="25" t="str">
        <x:f>_xlfn.IFNA(VLOOKUP(A155,InfoSecThreats!A:B,2,FALSE),"")</x:f>
      </x:c>
      <x:c r="D155" s="25" t="str">
        <x:f>_xlfn.IFNA(VLOOKUP(Vulnerabilities!C155,Assets!A:C,2,FALSE),"")</x:f>
      </x:c>
      <x:c r="E155" s="25" t="str">
        <x:f>_xlfn.IFNA(VLOOKUP(Vulnerabilities!C155,Assets!A:C,3,FALSE),"")</x:f>
      </x:c>
      <x:c r="G155" s="26" t="str">
        <x:f t="shared" si="2"/>
      </x:c>
      <x:c r="K155" s="26" t="str">
        <x:f>_xlfn.IFNA(VLOOKUP(_xlfn.CONCAT(I155,"|",J155),RiskValues!C:D,2,FALSE),"")</x:f>
      </x:c>
    </x:row>
    <x:row r="156">
      <x:c r="B156" s="25" t="str">
        <x:f>_xlfn.IFNA(VLOOKUP(A156,InfoSecThreats!A:B,2,FALSE),"")</x:f>
      </x:c>
      <x:c r="D156" s="25" t="str">
        <x:f>_xlfn.IFNA(VLOOKUP(Vulnerabilities!C156,Assets!A:C,2,FALSE),"")</x:f>
      </x:c>
      <x:c r="E156" s="25" t="str">
        <x:f>_xlfn.IFNA(VLOOKUP(Vulnerabilities!C156,Assets!A:C,3,FALSE),"")</x:f>
      </x:c>
      <x:c r="G156" s="26" t="str">
        <x:f t="shared" si="2"/>
      </x:c>
      <x:c r="K156" s="26" t="str">
        <x:f>_xlfn.IFNA(VLOOKUP(_xlfn.CONCAT(I156,"|",J156),RiskValues!C:D,2,FALSE),"")</x:f>
      </x:c>
    </x:row>
    <x:row r="157">
      <x:c r="B157" s="25" t="str">
        <x:f>_xlfn.IFNA(VLOOKUP(A157,InfoSecThreats!A:B,2,FALSE),"")</x:f>
      </x:c>
      <x:c r="D157" s="25" t="str">
        <x:f>_xlfn.IFNA(VLOOKUP(Vulnerabilities!C157,Assets!A:C,2,FALSE),"")</x:f>
      </x:c>
      <x:c r="E157" s="25" t="str">
        <x:f>_xlfn.IFNA(VLOOKUP(Vulnerabilities!C157,Assets!A:C,3,FALSE),"")</x:f>
      </x:c>
      <x:c r="G157" s="26" t="str">
        <x:f t="shared" si="2"/>
      </x:c>
      <x:c r="K157" s="26" t="str">
        <x:f>_xlfn.IFNA(VLOOKUP(_xlfn.CONCAT(I157,"|",J157),RiskValues!C:D,2,FALSE),"")</x:f>
      </x:c>
    </x:row>
    <x:row r="158">
      <x:c r="B158" s="25" t="str">
        <x:f>_xlfn.IFNA(VLOOKUP(A158,InfoSecThreats!A:B,2,FALSE),"")</x:f>
      </x:c>
      <x:c r="D158" s="25" t="str">
        <x:f>_xlfn.IFNA(VLOOKUP(Vulnerabilities!C158,Assets!A:C,2,FALSE),"")</x:f>
      </x:c>
      <x:c r="E158" s="25" t="str">
        <x:f>_xlfn.IFNA(VLOOKUP(Vulnerabilities!C158,Assets!A:C,3,FALSE),"")</x:f>
      </x:c>
      <x:c r="G158" s="26" t="str">
        <x:f t="shared" si="2"/>
      </x:c>
      <x:c r="K158" s="26" t="str">
        <x:f>_xlfn.IFNA(VLOOKUP(_xlfn.CONCAT(I158,"|",J158),RiskValues!C:D,2,FALSE),"")</x:f>
      </x:c>
    </x:row>
    <x:row r="159">
      <x:c r="B159" s="25" t="str">
        <x:f>_xlfn.IFNA(VLOOKUP(A159,InfoSecThreats!A:B,2,FALSE),"")</x:f>
      </x:c>
      <x:c r="D159" s="25" t="str">
        <x:f>_xlfn.IFNA(VLOOKUP(Vulnerabilities!C159,Assets!A:C,2,FALSE),"")</x:f>
      </x:c>
      <x:c r="E159" s="25" t="str">
        <x:f>_xlfn.IFNA(VLOOKUP(Vulnerabilities!C159,Assets!A:C,3,FALSE),"")</x:f>
      </x:c>
      <x:c r="G159" s="26" t="str">
        <x:f t="shared" si="2"/>
      </x:c>
      <x:c r="K159" s="26" t="str">
        <x:f>_xlfn.IFNA(VLOOKUP(_xlfn.CONCAT(I159,"|",J159),RiskValues!C:D,2,FALSE),"")</x:f>
      </x:c>
    </x:row>
    <x:row r="160">
      <x:c r="B160" s="25" t="str">
        <x:f>_xlfn.IFNA(VLOOKUP(A160,InfoSecThreats!A:B,2,FALSE),"")</x:f>
      </x:c>
      <x:c r="D160" s="25" t="str">
        <x:f>_xlfn.IFNA(VLOOKUP(Vulnerabilities!C160,Assets!A:C,2,FALSE),"")</x:f>
      </x:c>
      <x:c r="E160" s="25" t="str">
        <x:f>_xlfn.IFNA(VLOOKUP(Vulnerabilities!C160,Assets!A:C,3,FALSE),"")</x:f>
      </x:c>
      <x:c r="G160" s="26" t="str">
        <x:f t="shared" si="2"/>
      </x:c>
      <x:c r="K160" s="26" t="str">
        <x:f>_xlfn.IFNA(VLOOKUP(_xlfn.CONCAT(I160,"|",J160),RiskValues!C:D,2,FALSE),"")</x:f>
      </x:c>
    </x:row>
    <x:row r="161">
      <x:c r="B161" s="25" t="str">
        <x:f>_xlfn.IFNA(VLOOKUP(A161,InfoSecThreats!A:B,2,FALSE),"")</x:f>
      </x:c>
      <x:c r="D161" s="25" t="str">
        <x:f>_xlfn.IFNA(VLOOKUP(Vulnerabilities!C161,Assets!A:C,2,FALSE),"")</x:f>
      </x:c>
      <x:c r="E161" s="25" t="str">
        <x:f>_xlfn.IFNA(VLOOKUP(Vulnerabilities!C161,Assets!A:C,3,FALSE),"")</x:f>
      </x:c>
      <x:c r="G161" s="26" t="str">
        <x:f t="shared" si="2"/>
      </x:c>
      <x:c r="K161" s="26" t="str">
        <x:f>_xlfn.IFNA(VLOOKUP(_xlfn.CONCAT(I161,"|",J161),RiskValues!C:D,2,FALSE),"")</x:f>
      </x:c>
    </x:row>
    <x:row r="162">
      <x:c r="B162" s="25" t="str">
        <x:f>_xlfn.IFNA(VLOOKUP(A162,InfoSecThreats!A:B,2,FALSE),"")</x:f>
      </x:c>
      <x:c r="D162" s="25" t="str">
        <x:f>_xlfn.IFNA(VLOOKUP(Vulnerabilities!C162,Assets!A:C,2,FALSE),"")</x:f>
      </x:c>
      <x:c r="E162" s="25" t="str">
        <x:f>_xlfn.IFNA(VLOOKUP(Vulnerabilities!C162,Assets!A:C,3,FALSE),"")</x:f>
      </x:c>
      <x:c r="G162" s="26" t="str">
        <x:f t="shared" si="2"/>
      </x:c>
      <x:c r="K162" s="26" t="str">
        <x:f>_xlfn.IFNA(VLOOKUP(_xlfn.CONCAT(I162,"|",J162),RiskValues!C:D,2,FALSE),"")</x:f>
      </x:c>
    </x:row>
    <x:row r="163">
      <x:c r="B163" s="25" t="str">
        <x:f>_xlfn.IFNA(VLOOKUP(A163,InfoSecThreats!A:B,2,FALSE),"")</x:f>
      </x:c>
      <x:c r="D163" s="25" t="str">
        <x:f>_xlfn.IFNA(VLOOKUP(Vulnerabilities!C163,Assets!A:C,2,FALSE),"")</x:f>
      </x:c>
      <x:c r="E163" s="25" t="str">
        <x:f>_xlfn.IFNA(VLOOKUP(Vulnerabilities!C163,Assets!A:C,3,FALSE),"")</x:f>
      </x:c>
      <x:c r="G163" s="26" t="str">
        <x:f t="shared" si="2"/>
      </x:c>
      <x:c r="K163" s="26" t="str">
        <x:f>_xlfn.IFNA(VLOOKUP(_xlfn.CONCAT(I163,"|",J163),RiskValues!C:D,2,FALSE),"")</x:f>
      </x:c>
    </x:row>
    <x:row r="164">
      <x:c r="B164" s="25" t="str">
        <x:f>_xlfn.IFNA(VLOOKUP(A164,InfoSecThreats!A:B,2,FALSE),"")</x:f>
      </x:c>
      <x:c r="D164" s="25" t="str">
        <x:f>_xlfn.IFNA(VLOOKUP(Vulnerabilities!C164,Assets!A:C,2,FALSE),"")</x:f>
      </x:c>
      <x:c r="E164" s="25" t="str">
        <x:f>_xlfn.IFNA(VLOOKUP(Vulnerabilities!C164,Assets!A:C,3,FALSE),"")</x:f>
      </x:c>
      <x:c r="G164" s="26" t="str">
        <x:f t="shared" si="2"/>
      </x:c>
      <x:c r="K164" s="26" t="str">
        <x:f>_xlfn.IFNA(VLOOKUP(_xlfn.CONCAT(I164,"|",J164),RiskValues!C:D,2,FALSE),"")</x:f>
      </x:c>
    </x:row>
    <x:row r="165">
      <x:c r="B165" s="25" t="str">
        <x:f>_xlfn.IFNA(VLOOKUP(A165,InfoSecThreats!A:B,2,FALSE),"")</x:f>
      </x:c>
      <x:c r="D165" s="25" t="str">
        <x:f>_xlfn.IFNA(VLOOKUP(Vulnerabilities!C165,Assets!A:C,2,FALSE),"")</x:f>
      </x:c>
      <x:c r="E165" s="25" t="str">
        <x:f>_xlfn.IFNA(VLOOKUP(Vulnerabilities!C165,Assets!A:C,3,FALSE),"")</x:f>
      </x:c>
      <x:c r="G165" s="26" t="str">
        <x:f t="shared" si="2"/>
      </x:c>
      <x:c r="K165" s="26" t="str">
        <x:f>_xlfn.IFNA(VLOOKUP(_xlfn.CONCAT(I165,"|",J165),RiskValues!C:D,2,FALSE),"")</x:f>
      </x:c>
    </x:row>
    <x:row r="166">
      <x:c r="B166" s="25" t="str">
        <x:f>_xlfn.IFNA(VLOOKUP(A166,InfoSecThreats!A:B,2,FALSE),"")</x:f>
      </x:c>
      <x:c r="D166" s="25" t="str">
        <x:f>_xlfn.IFNA(VLOOKUP(Vulnerabilities!C166,Assets!A:C,2,FALSE),"")</x:f>
      </x:c>
      <x:c r="E166" s="25" t="str">
        <x:f>_xlfn.IFNA(VLOOKUP(Vulnerabilities!C166,Assets!A:C,3,FALSE),"")</x:f>
      </x:c>
      <x:c r="G166" s="26" t="str">
        <x:f t="shared" si="2"/>
      </x:c>
      <x:c r="K166" s="26" t="str">
        <x:f>_xlfn.IFNA(VLOOKUP(_xlfn.CONCAT(I166,"|",J166),RiskValues!C:D,2,FALSE),"")</x:f>
      </x:c>
    </x:row>
    <x:row r="167">
      <x:c r="B167" s="25" t="str">
        <x:f>_xlfn.IFNA(VLOOKUP(A167,InfoSecThreats!A:B,2,FALSE),"")</x:f>
      </x:c>
      <x:c r="D167" s="25" t="str">
        <x:f>_xlfn.IFNA(VLOOKUP(Vulnerabilities!C167,Assets!A:C,2,FALSE),"")</x:f>
      </x:c>
      <x:c r="E167" s="25" t="str">
        <x:f>_xlfn.IFNA(VLOOKUP(Vulnerabilities!C167,Assets!A:C,3,FALSE),"")</x:f>
      </x:c>
      <x:c r="G167" s="26" t="str">
        <x:f t="shared" si="2"/>
      </x:c>
      <x:c r="K167" s="26" t="str">
        <x:f>_xlfn.IFNA(VLOOKUP(_xlfn.CONCAT(I167,"|",J167),RiskValues!C:D,2,FALSE),"")</x:f>
      </x:c>
    </x:row>
    <x:row r="168">
      <x:c r="B168" s="25" t="str">
        <x:f>_xlfn.IFNA(VLOOKUP(A168,InfoSecThreats!A:B,2,FALSE),"")</x:f>
      </x:c>
      <x:c r="D168" s="25" t="str">
        <x:f>_xlfn.IFNA(VLOOKUP(Vulnerabilities!C168,Assets!A:C,2,FALSE),"")</x:f>
      </x:c>
      <x:c r="E168" s="25" t="str">
        <x:f>_xlfn.IFNA(VLOOKUP(Vulnerabilities!C168,Assets!A:C,3,FALSE),"")</x:f>
      </x:c>
      <x:c r="G168" s="26" t="str">
        <x:f t="shared" si="2"/>
      </x:c>
      <x:c r="K168" s="26" t="str">
        <x:f>_xlfn.IFNA(VLOOKUP(_xlfn.CONCAT(I168,"|",J168),RiskValues!C:D,2,FALSE),"")</x:f>
      </x:c>
    </x:row>
    <x:row r="169">
      <x:c r="B169" s="25" t="str">
        <x:f>_xlfn.IFNA(VLOOKUP(A169,InfoSecThreats!A:B,2,FALSE),"")</x:f>
      </x:c>
      <x:c r="D169" s="25" t="str">
        <x:f>_xlfn.IFNA(VLOOKUP(Vulnerabilities!C169,Assets!A:C,2,FALSE),"")</x:f>
      </x:c>
      <x:c r="E169" s="25" t="str">
        <x:f>_xlfn.IFNA(VLOOKUP(Vulnerabilities!C169,Assets!A:C,3,FALSE),"")</x:f>
      </x:c>
      <x:c r="G169" s="26" t="str">
        <x:f t="shared" si="2"/>
      </x:c>
      <x:c r="K169" s="26" t="str">
        <x:f>_xlfn.IFNA(VLOOKUP(_xlfn.CONCAT(I169,"|",J169),RiskValues!C:D,2,FALSE),"")</x:f>
      </x:c>
    </x:row>
    <x:row r="170">
      <x:c r="B170" s="25" t="str">
        <x:f>_xlfn.IFNA(VLOOKUP(A170,InfoSecThreats!A:B,2,FALSE),"")</x:f>
      </x:c>
      <x:c r="D170" s="25" t="str">
        <x:f>_xlfn.IFNA(VLOOKUP(Vulnerabilities!C170,Assets!A:C,2,FALSE),"")</x:f>
      </x:c>
      <x:c r="E170" s="25" t="str">
        <x:f>_xlfn.IFNA(VLOOKUP(Vulnerabilities!C170,Assets!A:C,3,FALSE),"")</x:f>
      </x:c>
      <x:c r="G170" s="26" t="str">
        <x:f t="shared" si="2"/>
      </x:c>
      <x:c r="K170" s="26" t="str">
        <x:f>_xlfn.IFNA(VLOOKUP(_xlfn.CONCAT(I170,"|",J170),RiskValues!C:D,2,FALSE),"")</x:f>
      </x:c>
    </x:row>
    <x:row r="171">
      <x:c r="B171" s="25" t="str">
        <x:f>_xlfn.IFNA(VLOOKUP(A171,InfoSecThreats!A:B,2,FALSE),"")</x:f>
      </x:c>
      <x:c r="D171" s="25" t="str">
        <x:f>_xlfn.IFNA(VLOOKUP(Vulnerabilities!C171,Assets!A:C,2,FALSE),"")</x:f>
      </x:c>
      <x:c r="E171" s="25" t="str">
        <x:f>_xlfn.IFNA(VLOOKUP(Vulnerabilities!C171,Assets!A:C,3,FALSE),"")</x:f>
      </x:c>
      <x:c r="G171" s="26" t="str">
        <x:f t="shared" si="2"/>
      </x:c>
      <x:c r="K171" s="26" t="str">
        <x:f>_xlfn.IFNA(VLOOKUP(_xlfn.CONCAT(I171,"|",J171),RiskValues!C:D,2,FALSE),"")</x:f>
      </x:c>
    </x:row>
    <x:row r="172">
      <x:c r="B172" s="25" t="str">
        <x:f>_xlfn.IFNA(VLOOKUP(A172,InfoSecThreats!A:B,2,FALSE),"")</x:f>
      </x:c>
      <x:c r="D172" s="25" t="str">
        <x:f>_xlfn.IFNA(VLOOKUP(Vulnerabilities!C172,Assets!A:C,2,FALSE),"")</x:f>
      </x:c>
      <x:c r="E172" s="25" t="str">
        <x:f>_xlfn.IFNA(VLOOKUP(Vulnerabilities!C172,Assets!A:C,3,FALSE),"")</x:f>
      </x:c>
      <x:c r="G172" s="26" t="str">
        <x:f t="shared" si="2"/>
      </x:c>
      <x:c r="K172" s="26" t="str">
        <x:f>_xlfn.IFNA(VLOOKUP(_xlfn.CONCAT(I172,"|",J172),RiskValues!C:D,2,FALSE),"")</x:f>
      </x:c>
    </x:row>
    <x:row r="173">
      <x:c r="B173" s="25" t="str">
        <x:f>_xlfn.IFNA(VLOOKUP(A173,InfoSecThreats!A:B,2,FALSE),"")</x:f>
      </x:c>
      <x:c r="D173" s="25" t="str">
        <x:f>_xlfn.IFNA(VLOOKUP(Vulnerabilities!C173,Assets!A:C,2,FALSE),"")</x:f>
      </x:c>
      <x:c r="E173" s="25" t="str">
        <x:f>_xlfn.IFNA(VLOOKUP(Vulnerabilities!C173,Assets!A:C,3,FALSE),"")</x:f>
      </x:c>
      <x:c r="G173" s="26" t="str">
        <x:f t="shared" si="2"/>
      </x:c>
      <x:c r="K173" s="26" t="str">
        <x:f>_xlfn.IFNA(VLOOKUP(_xlfn.CONCAT(I173,"|",J173),RiskValues!C:D,2,FALSE),"")</x:f>
      </x:c>
    </x:row>
    <x:row r="174">
      <x:c r="B174" s="25" t="str">
        <x:f>_xlfn.IFNA(VLOOKUP(A174,InfoSecThreats!A:B,2,FALSE),"")</x:f>
      </x:c>
      <x:c r="D174" s="25" t="str">
        <x:f>_xlfn.IFNA(VLOOKUP(Vulnerabilities!C174,Assets!A:C,2,FALSE),"")</x:f>
      </x:c>
      <x:c r="E174" s="25" t="str">
        <x:f>_xlfn.IFNA(VLOOKUP(Vulnerabilities!C174,Assets!A:C,3,FALSE),"")</x:f>
      </x:c>
      <x:c r="G174" s="26" t="str">
        <x:f t="shared" si="2"/>
      </x:c>
      <x:c r="K174" s="26" t="str">
        <x:f>_xlfn.IFNA(VLOOKUP(_xlfn.CONCAT(I174,"|",J174),RiskValues!C:D,2,FALSE),"")</x:f>
      </x:c>
    </x:row>
    <x:row r="175">
      <x:c r="B175" s="25" t="str">
        <x:f>_xlfn.IFNA(VLOOKUP(A175,InfoSecThreats!A:B,2,FALSE),"")</x:f>
      </x:c>
      <x:c r="D175" s="25" t="str">
        <x:f>_xlfn.IFNA(VLOOKUP(Vulnerabilities!C175,Assets!A:C,2,FALSE),"")</x:f>
      </x:c>
      <x:c r="E175" s="25" t="str">
        <x:f>_xlfn.IFNA(VLOOKUP(Vulnerabilities!C175,Assets!A:C,3,FALSE),"")</x:f>
      </x:c>
      <x:c r="G175" s="26" t="str">
        <x:f t="shared" si="2"/>
      </x:c>
      <x:c r="K175" s="26" t="str">
        <x:f>_xlfn.IFNA(VLOOKUP(_xlfn.CONCAT(I175,"|",J175),RiskValues!C:D,2,FALSE),"")</x:f>
      </x:c>
    </x:row>
    <x:row r="176">
      <x:c r="B176" s="25" t="str">
        <x:f>_xlfn.IFNA(VLOOKUP(A176,InfoSecThreats!A:B,2,FALSE),"")</x:f>
      </x:c>
      <x:c r="D176" s="25" t="str">
        <x:f>_xlfn.IFNA(VLOOKUP(Vulnerabilities!C176,Assets!A:C,2,FALSE),"")</x:f>
      </x:c>
      <x:c r="E176" s="25" t="str">
        <x:f>_xlfn.IFNA(VLOOKUP(Vulnerabilities!C176,Assets!A:C,3,FALSE),"")</x:f>
      </x:c>
      <x:c r="G176" s="26" t="str">
        <x:f t="shared" si="2"/>
      </x:c>
      <x:c r="K176" s="26" t="str">
        <x:f>_xlfn.IFNA(VLOOKUP(_xlfn.CONCAT(I176,"|",J176),RiskValues!C:D,2,FALSE),"")</x:f>
      </x:c>
    </x:row>
    <x:row r="177">
      <x:c r="B177" s="25" t="str">
        <x:f>_xlfn.IFNA(VLOOKUP(A177,InfoSecThreats!A:B,2,FALSE),"")</x:f>
      </x:c>
      <x:c r="D177" s="25" t="str">
        <x:f>_xlfn.IFNA(VLOOKUP(Vulnerabilities!C177,Assets!A:C,2,FALSE),"")</x:f>
      </x:c>
      <x:c r="E177" s="25" t="str">
        <x:f>_xlfn.IFNA(VLOOKUP(Vulnerabilities!C177,Assets!A:C,3,FALSE),"")</x:f>
      </x:c>
      <x:c r="G177" s="26" t="str">
        <x:f t="shared" si="2"/>
      </x:c>
      <x:c r="K177" s="26" t="str">
        <x:f>_xlfn.IFNA(VLOOKUP(_xlfn.CONCAT(I177,"|",J177),RiskValues!C:D,2,FALSE),"")</x:f>
      </x:c>
    </x:row>
    <x:row r="178">
      <x:c r="B178" s="25" t="str">
        <x:f>_xlfn.IFNA(VLOOKUP(A178,InfoSecThreats!A:B,2,FALSE),"")</x:f>
      </x:c>
      <x:c r="D178" s="25" t="str">
        <x:f>_xlfn.IFNA(VLOOKUP(Vulnerabilities!C178,Assets!A:C,2,FALSE),"")</x:f>
      </x:c>
      <x:c r="E178" s="25" t="str">
        <x:f>_xlfn.IFNA(VLOOKUP(Vulnerabilities!C178,Assets!A:C,3,FALSE),"")</x:f>
      </x:c>
      <x:c r="G178" s="26" t="str">
        <x:f t="shared" si="2"/>
      </x:c>
      <x:c r="K178" s="26" t="str">
        <x:f>_xlfn.IFNA(VLOOKUP(_xlfn.CONCAT(I178,"|",J178),RiskValues!C:D,2,FALSE),"")</x:f>
      </x:c>
    </x:row>
    <x:row r="179">
      <x:c r="B179" s="25" t="str">
        <x:f>_xlfn.IFNA(VLOOKUP(A179,InfoSecThreats!A:B,2,FALSE),"")</x:f>
      </x:c>
      <x:c r="D179" s="25" t="str">
        <x:f>_xlfn.IFNA(VLOOKUP(Vulnerabilities!C179,Assets!A:C,2,FALSE),"")</x:f>
      </x:c>
      <x:c r="E179" s="25" t="str">
        <x:f>_xlfn.IFNA(VLOOKUP(Vulnerabilities!C179,Assets!A:C,3,FALSE),"")</x:f>
      </x:c>
      <x:c r="G179" s="26" t="str">
        <x:f t="shared" si="2"/>
      </x:c>
      <x:c r="K179" s="26" t="str">
        <x:f>_xlfn.IFNA(VLOOKUP(_xlfn.CONCAT(I179,"|",J179),RiskValues!C:D,2,FALSE),"")</x:f>
      </x:c>
    </x:row>
    <x:row r="180">
      <x:c r="B180" s="25" t="str">
        <x:f>_xlfn.IFNA(VLOOKUP(A180,InfoSecThreats!A:B,2,FALSE),"")</x:f>
      </x:c>
      <x:c r="D180" s="25" t="str">
        <x:f>_xlfn.IFNA(VLOOKUP(Vulnerabilities!C180,Assets!A:C,2,FALSE),"")</x:f>
      </x:c>
      <x:c r="E180" s="25" t="str">
        <x:f>_xlfn.IFNA(VLOOKUP(Vulnerabilities!C180,Assets!A:C,3,FALSE),"")</x:f>
      </x:c>
      <x:c r="G180" s="26" t="str">
        <x:f t="shared" si="2"/>
      </x:c>
      <x:c r="K180" s="26" t="str">
        <x:f>_xlfn.IFNA(VLOOKUP(_xlfn.CONCAT(I180,"|",J180),RiskValues!C:D,2,FALSE),"")</x:f>
      </x:c>
    </x:row>
    <x:row r="181">
      <x:c r="B181" s="25" t="str">
        <x:f>_xlfn.IFNA(VLOOKUP(A181,InfoSecThreats!A:B,2,FALSE),"")</x:f>
      </x:c>
      <x:c r="D181" s="25" t="str">
        <x:f>_xlfn.IFNA(VLOOKUP(Vulnerabilities!C181,Assets!A:C,2,FALSE),"")</x:f>
      </x:c>
      <x:c r="E181" s="25" t="str">
        <x:f>_xlfn.IFNA(VLOOKUP(Vulnerabilities!C181,Assets!A:C,3,FALSE),"")</x:f>
      </x:c>
      <x:c r="G181" s="26" t="str">
        <x:f t="shared" si="2"/>
      </x:c>
      <x:c r="K181" s="26" t="str">
        <x:f>_xlfn.IFNA(VLOOKUP(_xlfn.CONCAT(I181,"|",J181),RiskValues!C:D,2,FALSE),"")</x:f>
      </x:c>
    </x:row>
    <x:row r="182">
      <x:c r="B182" s="25" t="str">
        <x:f>_xlfn.IFNA(VLOOKUP(A182,InfoSecThreats!A:B,2,FALSE),"")</x:f>
      </x:c>
      <x:c r="D182" s="25" t="str">
        <x:f>_xlfn.IFNA(VLOOKUP(Vulnerabilities!C182,Assets!A:C,2,FALSE),"")</x:f>
      </x:c>
      <x:c r="E182" s="25" t="str">
        <x:f>_xlfn.IFNA(VLOOKUP(Vulnerabilities!C182,Assets!A:C,3,FALSE),"")</x:f>
      </x:c>
      <x:c r="G182" s="26" t="str">
        <x:f t="shared" si="2"/>
      </x:c>
      <x:c r="K182" s="26" t="str">
        <x:f>_xlfn.IFNA(VLOOKUP(_xlfn.CONCAT(I182,"|",J182),RiskValues!C:D,2,FALSE),"")</x:f>
      </x:c>
    </x:row>
    <x:row r="183">
      <x:c r="B183" s="25" t="str">
        <x:f>_xlfn.IFNA(VLOOKUP(A183,InfoSecThreats!A:B,2,FALSE),"")</x:f>
      </x:c>
      <x:c r="D183" s="25" t="str">
        <x:f>_xlfn.IFNA(VLOOKUP(Vulnerabilities!C183,Assets!A:C,2,FALSE),"")</x:f>
      </x:c>
      <x:c r="E183" s="25" t="str">
        <x:f>_xlfn.IFNA(VLOOKUP(Vulnerabilities!C183,Assets!A:C,3,FALSE),"")</x:f>
      </x:c>
      <x:c r="G183" s="26" t="str">
        <x:f t="shared" si="2"/>
      </x:c>
      <x:c r="K183" s="26" t="str">
        <x:f>_xlfn.IFNA(VLOOKUP(_xlfn.CONCAT(I183,"|",J183),RiskValues!C:D,2,FALSE),"")</x:f>
      </x:c>
    </x:row>
    <x:row r="184">
      <x:c r="B184" s="25" t="str">
        <x:f>_xlfn.IFNA(VLOOKUP(A184,InfoSecThreats!A:B,2,FALSE),"")</x:f>
      </x:c>
      <x:c r="D184" s="25" t="str">
        <x:f>_xlfn.IFNA(VLOOKUP(Vulnerabilities!C184,Assets!A:C,2,FALSE),"")</x:f>
      </x:c>
      <x:c r="E184" s="25" t="str">
        <x:f>_xlfn.IFNA(VLOOKUP(Vulnerabilities!C184,Assets!A:C,3,FALSE),"")</x:f>
      </x:c>
      <x:c r="G184" s="26" t="str">
        <x:f t="shared" si="2"/>
      </x:c>
      <x:c r="K184" s="26" t="str">
        <x:f>_xlfn.IFNA(VLOOKUP(_xlfn.CONCAT(I184,"|",J184),RiskValues!C:D,2,FALSE),"")</x:f>
      </x:c>
    </x:row>
    <x:row r="185">
      <x:c r="B185" s="25" t="str">
        <x:f>_xlfn.IFNA(VLOOKUP(A185,InfoSecThreats!A:B,2,FALSE),"")</x:f>
      </x:c>
      <x:c r="D185" s="25" t="str">
        <x:f>_xlfn.IFNA(VLOOKUP(Vulnerabilities!C185,Assets!A:C,2,FALSE),"")</x:f>
      </x:c>
      <x:c r="E185" s="25" t="str">
        <x:f>_xlfn.IFNA(VLOOKUP(Vulnerabilities!C185,Assets!A:C,3,FALSE),"")</x:f>
      </x:c>
      <x:c r="G185" s="26" t="str">
        <x:f t="shared" si="2"/>
      </x:c>
      <x:c r="K185" s="26" t="str">
        <x:f>_xlfn.IFNA(VLOOKUP(_xlfn.CONCAT(I185,"|",J185),RiskValues!C:D,2,FALSE),"")</x:f>
      </x:c>
    </x:row>
    <x:row r="186">
      <x:c r="B186" s="25" t="str">
        <x:f>_xlfn.IFNA(VLOOKUP(A186,InfoSecThreats!A:B,2,FALSE),"")</x:f>
      </x:c>
      <x:c r="D186" s="25" t="str">
        <x:f>_xlfn.IFNA(VLOOKUP(Vulnerabilities!C186,Assets!A:C,2,FALSE),"")</x:f>
      </x:c>
      <x:c r="E186" s="25" t="str">
        <x:f>_xlfn.IFNA(VLOOKUP(Vulnerabilities!C186,Assets!A:C,3,FALSE),"")</x:f>
      </x:c>
      <x:c r="G186" s="26" t="str">
        <x:f t="shared" si="2"/>
      </x:c>
      <x:c r="K186" s="26" t="str">
        <x:f>_xlfn.IFNA(VLOOKUP(_xlfn.CONCAT(I186,"|",J186),RiskValues!C:D,2,FALSE),"")</x:f>
      </x:c>
    </x:row>
    <x:row r="187">
      <x:c r="B187" s="25" t="str">
        <x:f>_xlfn.IFNA(VLOOKUP(A187,InfoSecThreats!A:B,2,FALSE),"")</x:f>
      </x:c>
      <x:c r="D187" s="25" t="str">
        <x:f>_xlfn.IFNA(VLOOKUP(Vulnerabilities!C187,Assets!A:C,2,FALSE),"")</x:f>
      </x:c>
      <x:c r="E187" s="25" t="str">
        <x:f>_xlfn.IFNA(VLOOKUP(Vulnerabilities!C187,Assets!A:C,3,FALSE),"")</x:f>
      </x:c>
      <x:c r="G187" s="26" t="str">
        <x:f t="shared" si="2"/>
      </x:c>
      <x:c r="K187" s="26" t="str">
        <x:f>_xlfn.IFNA(VLOOKUP(_xlfn.CONCAT(I187,"|",J187),RiskValues!C:D,2,FALSE),"")</x:f>
      </x:c>
    </x:row>
    <x:row r="188">
      <x:c r="B188" s="25" t="str">
        <x:f>_xlfn.IFNA(VLOOKUP(A188,InfoSecThreats!A:B,2,FALSE),"")</x:f>
      </x:c>
      <x:c r="D188" s="25" t="str">
        <x:f>_xlfn.IFNA(VLOOKUP(Vulnerabilities!C188,Assets!A:C,2,FALSE),"")</x:f>
      </x:c>
      <x:c r="E188" s="25" t="str">
        <x:f>_xlfn.IFNA(VLOOKUP(Vulnerabilities!C188,Assets!A:C,3,FALSE),"")</x:f>
      </x:c>
      <x:c r="G188" s="26" t="str">
        <x:f t="shared" si="2"/>
      </x:c>
      <x:c r="K188" s="26" t="str">
        <x:f>_xlfn.IFNA(VLOOKUP(_xlfn.CONCAT(I188,"|",J188),RiskValues!C:D,2,FALSE),"")</x:f>
      </x:c>
    </x:row>
    <x:row r="189">
      <x:c r="B189" s="25" t="str">
        <x:f>_xlfn.IFNA(VLOOKUP(A189,InfoSecThreats!A:B,2,FALSE),"")</x:f>
      </x:c>
      <x:c r="D189" s="25" t="str">
        <x:f>_xlfn.IFNA(VLOOKUP(Vulnerabilities!C189,Assets!A:C,2,FALSE),"")</x:f>
      </x:c>
      <x:c r="E189" s="25" t="str">
        <x:f>_xlfn.IFNA(VLOOKUP(Vulnerabilities!C189,Assets!A:C,3,FALSE),"")</x:f>
      </x:c>
      <x:c r="G189" s="26" t="str">
        <x:f t="shared" si="2"/>
      </x:c>
      <x:c r="K189" s="26" t="str">
        <x:f>_xlfn.IFNA(VLOOKUP(_xlfn.CONCAT(I189,"|",J189),RiskValues!C:D,2,FALSE),"")</x:f>
      </x:c>
    </x:row>
    <x:row r="190">
      <x:c r="B190" s="25" t="str">
        <x:f>_xlfn.IFNA(VLOOKUP(A190,InfoSecThreats!A:B,2,FALSE),"")</x:f>
      </x:c>
      <x:c r="D190" s="25" t="str">
        <x:f>_xlfn.IFNA(VLOOKUP(Vulnerabilities!C190,Assets!A:C,2,FALSE),"")</x:f>
      </x:c>
      <x:c r="E190" s="25" t="str">
        <x:f>_xlfn.IFNA(VLOOKUP(Vulnerabilities!C190,Assets!A:C,3,FALSE),"")</x:f>
      </x:c>
      <x:c r="G190" s="26" t="str">
        <x:f t="shared" si="2"/>
      </x:c>
      <x:c r="K190" s="26" t="str">
        <x:f>_xlfn.IFNA(VLOOKUP(_xlfn.CONCAT(I190,"|",J190),RiskValues!C:D,2,FALSE),"")</x:f>
      </x:c>
    </x:row>
    <x:row r="191">
      <x:c r="B191" s="25" t="str">
        <x:f>_xlfn.IFNA(VLOOKUP(A191,InfoSecThreats!A:B,2,FALSE),"")</x:f>
      </x:c>
      <x:c r="D191" s="25" t="str">
        <x:f>_xlfn.IFNA(VLOOKUP(Vulnerabilities!C191,Assets!A:C,2,FALSE),"")</x:f>
      </x:c>
      <x:c r="E191" s="25" t="str">
        <x:f>_xlfn.IFNA(VLOOKUP(Vulnerabilities!C191,Assets!A:C,3,FALSE),"")</x:f>
      </x:c>
      <x:c r="G191" s="26" t="str">
        <x:f t="shared" si="2"/>
      </x:c>
      <x:c r="K191" s="26" t="str">
        <x:f>_xlfn.IFNA(VLOOKUP(_xlfn.CONCAT(I191,"|",J191),RiskValues!C:D,2,FALSE),"")</x:f>
      </x:c>
    </x:row>
    <x:row r="192">
      <x:c r="B192" s="25" t="str">
        <x:f>_xlfn.IFNA(VLOOKUP(A192,InfoSecThreats!A:B,2,FALSE),"")</x:f>
      </x:c>
      <x:c r="D192" s="25" t="str">
        <x:f>_xlfn.IFNA(VLOOKUP(Vulnerabilities!C192,Assets!A:C,2,FALSE),"")</x:f>
      </x:c>
      <x:c r="E192" s="25" t="str">
        <x:f>_xlfn.IFNA(VLOOKUP(Vulnerabilities!C192,Assets!A:C,3,FALSE),"")</x:f>
      </x:c>
      <x:c r="G192" s="26" t="str">
        <x:f t="shared" si="2"/>
      </x:c>
      <x:c r="K192" s="26" t="str">
        <x:f>_xlfn.IFNA(VLOOKUP(_xlfn.CONCAT(I192,"|",J192),RiskValues!C:D,2,FALSE),"")</x:f>
      </x:c>
    </x:row>
    <x:row r="193">
      <x:c r="B193" s="25" t="str">
        <x:f>_xlfn.IFNA(VLOOKUP(A193,InfoSecThreats!A:B,2,FALSE),"")</x:f>
      </x:c>
      <x:c r="D193" s="25" t="str">
        <x:f>_xlfn.IFNA(VLOOKUP(Vulnerabilities!C193,Assets!A:C,2,FALSE),"")</x:f>
      </x:c>
      <x:c r="E193" s="25" t="str">
        <x:f>_xlfn.IFNA(VLOOKUP(Vulnerabilities!C193,Assets!A:C,3,FALSE),"")</x:f>
      </x:c>
      <x:c r="G193" s="26" t="str">
        <x:f t="shared" si="2"/>
      </x:c>
      <x:c r="K193" s="26" t="str">
        <x:f>_xlfn.IFNA(VLOOKUP(_xlfn.CONCAT(I193,"|",J193),RiskValues!C:D,2,FALSE),"")</x:f>
      </x:c>
    </x:row>
    <x:row r="194">
      <x:c r="B194" s="25" t="str">
        <x:f>_xlfn.IFNA(VLOOKUP(A194,InfoSecThreats!A:B,2,FALSE),"")</x:f>
      </x:c>
      <x:c r="D194" s="25" t="str">
        <x:f>_xlfn.IFNA(VLOOKUP(Vulnerabilities!C194,Assets!A:C,2,FALSE),"")</x:f>
      </x:c>
      <x:c r="E194" s="25" t="str">
        <x:f>_xlfn.IFNA(VLOOKUP(Vulnerabilities!C194,Assets!A:C,3,FALSE),"")</x:f>
      </x:c>
      <x:c r="G194" s="26" t="str">
        <x:f t="shared" si="2"/>
      </x:c>
      <x:c r="K194" s="26" t="str">
        <x:f>_xlfn.IFNA(VLOOKUP(_xlfn.CONCAT(I194,"|",J194),RiskValues!C:D,2,FALSE),"")</x:f>
      </x:c>
    </x:row>
    <x:row r="195">
      <x:c r="B195" s="25" t="str">
        <x:f>_xlfn.IFNA(VLOOKUP(A195,InfoSecThreats!A:B,2,FALSE),"")</x:f>
      </x:c>
      <x:c r="D195" s="25" t="str">
        <x:f>_xlfn.IFNA(VLOOKUP(Vulnerabilities!C195,Assets!A:C,2,FALSE),"")</x:f>
      </x:c>
      <x:c r="E195" s="25" t="str">
        <x:f>_xlfn.IFNA(VLOOKUP(Vulnerabilities!C195,Assets!A:C,3,FALSE),"")</x:f>
      </x:c>
      <x:c r="G195" s="26" t="str">
        <x:f t="shared" ref="G195:G258" si="3">IF(ISBLANK(F195),"",_xlfn.CONCAT("T",A195,"V",F195,"A",C195))</x:f>
      </x:c>
      <x:c r="K195" s="26" t="str">
        <x:f>_xlfn.IFNA(VLOOKUP(_xlfn.CONCAT(I195,"|",J195),RiskValues!C:D,2,FALSE),"")</x:f>
      </x:c>
    </x:row>
    <x:row r="196">
      <x:c r="B196" s="25" t="str">
        <x:f>_xlfn.IFNA(VLOOKUP(A196,InfoSecThreats!A:B,2,FALSE),"")</x:f>
      </x:c>
      <x:c r="D196" s="25" t="str">
        <x:f>_xlfn.IFNA(VLOOKUP(Vulnerabilities!C196,Assets!A:C,2,FALSE),"")</x:f>
      </x:c>
      <x:c r="E196" s="25" t="str">
        <x:f>_xlfn.IFNA(VLOOKUP(Vulnerabilities!C196,Assets!A:C,3,FALSE),"")</x:f>
      </x:c>
      <x:c r="G196" s="26" t="str">
        <x:f t="shared" si="3"/>
      </x:c>
      <x:c r="K196" s="26" t="str">
        <x:f>_xlfn.IFNA(VLOOKUP(_xlfn.CONCAT(I196,"|",J196),RiskValues!C:D,2,FALSE),"")</x:f>
      </x:c>
    </x:row>
    <x:row r="197">
      <x:c r="B197" s="25" t="str">
        <x:f>_xlfn.IFNA(VLOOKUP(A197,InfoSecThreats!A:B,2,FALSE),"")</x:f>
      </x:c>
      <x:c r="D197" s="25" t="str">
        <x:f>_xlfn.IFNA(VLOOKUP(Vulnerabilities!C197,Assets!A:C,2,FALSE),"")</x:f>
      </x:c>
      <x:c r="E197" s="25" t="str">
        <x:f>_xlfn.IFNA(VLOOKUP(Vulnerabilities!C197,Assets!A:C,3,FALSE),"")</x:f>
      </x:c>
      <x:c r="G197" s="26" t="str">
        <x:f t="shared" si="3"/>
      </x:c>
      <x:c r="K197" s="26" t="str">
        <x:f>_xlfn.IFNA(VLOOKUP(_xlfn.CONCAT(I197,"|",J197),RiskValues!C:D,2,FALSE),"")</x:f>
      </x:c>
    </x:row>
    <x:row r="198">
      <x:c r="B198" s="25" t="str">
        <x:f>_xlfn.IFNA(VLOOKUP(A198,InfoSecThreats!A:B,2,FALSE),"")</x:f>
      </x:c>
      <x:c r="D198" s="25" t="str">
        <x:f>_xlfn.IFNA(VLOOKUP(Vulnerabilities!C198,Assets!A:C,2,FALSE),"")</x:f>
      </x:c>
      <x:c r="E198" s="25" t="str">
        <x:f>_xlfn.IFNA(VLOOKUP(Vulnerabilities!C198,Assets!A:C,3,FALSE),"")</x:f>
      </x:c>
      <x:c r="G198" s="26" t="str">
        <x:f t="shared" si="3"/>
      </x:c>
      <x:c r="K198" s="26" t="str">
        <x:f>_xlfn.IFNA(VLOOKUP(_xlfn.CONCAT(I198,"|",J198),RiskValues!C:D,2,FALSE),"")</x:f>
      </x:c>
    </x:row>
    <x:row r="199">
      <x:c r="B199" s="25" t="str">
        <x:f>_xlfn.IFNA(VLOOKUP(A199,InfoSecThreats!A:B,2,FALSE),"")</x:f>
      </x:c>
      <x:c r="D199" s="25" t="str">
        <x:f>_xlfn.IFNA(VLOOKUP(Vulnerabilities!C199,Assets!A:C,2,FALSE),"")</x:f>
      </x:c>
      <x:c r="E199" s="25" t="str">
        <x:f>_xlfn.IFNA(VLOOKUP(Vulnerabilities!C199,Assets!A:C,3,FALSE),"")</x:f>
      </x:c>
      <x:c r="G199" s="26" t="str">
        <x:f t="shared" si="3"/>
      </x:c>
      <x:c r="K199" s="26" t="str">
        <x:f>_xlfn.IFNA(VLOOKUP(_xlfn.CONCAT(I199,"|",J199),RiskValues!C:D,2,FALSE),"")</x:f>
      </x:c>
    </x:row>
    <x:row r="200">
      <x:c r="B200" s="25" t="str">
        <x:f>_xlfn.IFNA(VLOOKUP(A200,InfoSecThreats!A:B,2,FALSE),"")</x:f>
      </x:c>
      <x:c r="D200" s="25" t="str">
        <x:f>_xlfn.IFNA(VLOOKUP(Vulnerabilities!C200,Assets!A:C,2,FALSE),"")</x:f>
      </x:c>
      <x:c r="E200" s="25" t="str">
        <x:f>_xlfn.IFNA(VLOOKUP(Vulnerabilities!C200,Assets!A:C,3,FALSE),"")</x:f>
      </x:c>
      <x:c r="G200" s="26" t="str">
        <x:f t="shared" si="3"/>
      </x:c>
      <x:c r="K200" s="26" t="str">
        <x:f>_xlfn.IFNA(VLOOKUP(_xlfn.CONCAT(I200,"|",J200),RiskValues!C:D,2,FALSE),"")</x:f>
      </x:c>
    </x:row>
    <x:row r="201">
      <x:c r="B201" s="25" t="str">
        <x:f>_xlfn.IFNA(VLOOKUP(A201,InfoSecThreats!A:B,2,FALSE),"")</x:f>
      </x:c>
      <x:c r="D201" s="25" t="str">
        <x:f>_xlfn.IFNA(VLOOKUP(Vulnerabilities!C201,Assets!A:C,2,FALSE),"")</x:f>
      </x:c>
      <x:c r="E201" s="25" t="str">
        <x:f>_xlfn.IFNA(VLOOKUP(Vulnerabilities!C201,Assets!A:C,3,FALSE),"")</x:f>
      </x:c>
      <x:c r="G201" s="26" t="str">
        <x:f t="shared" si="3"/>
      </x:c>
      <x:c r="K201" s="26" t="str">
        <x:f>_xlfn.IFNA(VLOOKUP(_xlfn.CONCAT(I201,"|",J201),RiskValues!C:D,2,FALSE),"")</x:f>
      </x:c>
    </x:row>
    <x:row r="202">
      <x:c r="B202" s="25" t="str">
        <x:f>_xlfn.IFNA(VLOOKUP(A202,InfoSecThreats!A:B,2,FALSE),"")</x:f>
      </x:c>
      <x:c r="D202" s="25" t="str">
        <x:f>_xlfn.IFNA(VLOOKUP(Vulnerabilities!C202,Assets!A:C,2,FALSE),"")</x:f>
      </x:c>
      <x:c r="E202" s="25" t="str">
        <x:f>_xlfn.IFNA(VLOOKUP(Vulnerabilities!C202,Assets!A:C,3,FALSE),"")</x:f>
      </x:c>
      <x:c r="G202" s="26" t="str">
        <x:f t="shared" si="3"/>
      </x:c>
      <x:c r="K202" s="26" t="str">
        <x:f>_xlfn.IFNA(VLOOKUP(_xlfn.CONCAT(I202,"|",J202),RiskValues!C:D,2,FALSE),"")</x:f>
      </x:c>
    </x:row>
    <x:row r="203">
      <x:c r="B203" s="25" t="str">
        <x:f>_xlfn.IFNA(VLOOKUP(A203,InfoSecThreats!A:B,2,FALSE),"")</x:f>
      </x:c>
      <x:c r="D203" s="25" t="str">
        <x:f>_xlfn.IFNA(VLOOKUP(Vulnerabilities!C203,Assets!A:C,2,FALSE),"")</x:f>
      </x:c>
      <x:c r="E203" s="25" t="str">
        <x:f>_xlfn.IFNA(VLOOKUP(Vulnerabilities!C203,Assets!A:C,3,FALSE),"")</x:f>
      </x:c>
      <x:c r="G203" s="26" t="str">
        <x:f t="shared" si="3"/>
      </x:c>
      <x:c r="K203" s="26" t="str">
        <x:f>_xlfn.IFNA(VLOOKUP(_xlfn.CONCAT(I203,"|",J203),RiskValues!C:D,2,FALSE),"")</x:f>
      </x:c>
    </x:row>
    <x:row r="204">
      <x:c r="B204" s="25" t="str">
        <x:f>_xlfn.IFNA(VLOOKUP(A204,InfoSecThreats!A:B,2,FALSE),"")</x:f>
      </x:c>
      <x:c r="D204" s="25" t="str">
        <x:f>_xlfn.IFNA(VLOOKUP(Vulnerabilities!C204,Assets!A:C,2,FALSE),"")</x:f>
      </x:c>
      <x:c r="E204" s="25" t="str">
        <x:f>_xlfn.IFNA(VLOOKUP(Vulnerabilities!C204,Assets!A:C,3,FALSE),"")</x:f>
      </x:c>
      <x:c r="G204" s="26" t="str">
        <x:f t="shared" si="3"/>
      </x:c>
      <x:c r="K204" s="26" t="str">
        <x:f>_xlfn.IFNA(VLOOKUP(_xlfn.CONCAT(I204,"|",J204),RiskValues!C:D,2,FALSE),"")</x:f>
      </x:c>
    </x:row>
    <x:row r="205">
      <x:c r="B205" s="25" t="str">
        <x:f>_xlfn.IFNA(VLOOKUP(A205,InfoSecThreats!A:B,2,FALSE),"")</x:f>
      </x:c>
      <x:c r="D205" s="25" t="str">
        <x:f>_xlfn.IFNA(VLOOKUP(Vulnerabilities!C205,Assets!A:C,2,FALSE),"")</x:f>
      </x:c>
      <x:c r="E205" s="25" t="str">
        <x:f>_xlfn.IFNA(VLOOKUP(Vulnerabilities!C205,Assets!A:C,3,FALSE),"")</x:f>
      </x:c>
      <x:c r="G205" s="26" t="str">
        <x:f t="shared" si="3"/>
      </x:c>
      <x:c r="K205" s="26" t="str">
        <x:f>_xlfn.IFNA(VLOOKUP(_xlfn.CONCAT(I205,"|",J205),RiskValues!C:D,2,FALSE),"")</x:f>
      </x:c>
    </x:row>
    <x:row r="206">
      <x:c r="B206" s="25" t="str">
        <x:f>_xlfn.IFNA(VLOOKUP(A206,InfoSecThreats!A:B,2,FALSE),"")</x:f>
      </x:c>
      <x:c r="D206" s="25" t="str">
        <x:f>_xlfn.IFNA(VLOOKUP(Vulnerabilities!C206,Assets!A:C,2,FALSE),"")</x:f>
      </x:c>
      <x:c r="E206" s="25" t="str">
        <x:f>_xlfn.IFNA(VLOOKUP(Vulnerabilities!C206,Assets!A:C,3,FALSE),"")</x:f>
      </x:c>
      <x:c r="G206" s="26" t="str">
        <x:f t="shared" si="3"/>
      </x:c>
      <x:c r="K206" s="26" t="str">
        <x:f>_xlfn.IFNA(VLOOKUP(_xlfn.CONCAT(I206,"|",J206),RiskValues!C:D,2,FALSE),"")</x:f>
      </x:c>
    </x:row>
    <x:row r="207">
      <x:c r="B207" s="25" t="str">
        <x:f>_xlfn.IFNA(VLOOKUP(A207,InfoSecThreats!A:B,2,FALSE),"")</x:f>
      </x:c>
      <x:c r="D207" s="25" t="str">
        <x:f>_xlfn.IFNA(VLOOKUP(Vulnerabilities!C207,Assets!A:C,2,FALSE),"")</x:f>
      </x:c>
      <x:c r="E207" s="25" t="str">
        <x:f>_xlfn.IFNA(VLOOKUP(Vulnerabilities!C207,Assets!A:C,3,FALSE),"")</x:f>
      </x:c>
      <x:c r="G207" s="26" t="str">
        <x:f t="shared" si="3"/>
      </x:c>
      <x:c r="K207" s="26" t="str">
        <x:f>_xlfn.IFNA(VLOOKUP(_xlfn.CONCAT(I207,"|",J207),RiskValues!C:D,2,FALSE),"")</x:f>
      </x:c>
    </x:row>
    <x:row r="208">
      <x:c r="B208" s="25" t="str">
        <x:f>_xlfn.IFNA(VLOOKUP(A208,InfoSecThreats!A:B,2,FALSE),"")</x:f>
      </x:c>
      <x:c r="D208" s="25" t="str">
        <x:f>_xlfn.IFNA(VLOOKUP(Vulnerabilities!C208,Assets!A:C,2,FALSE),"")</x:f>
      </x:c>
      <x:c r="E208" s="25" t="str">
        <x:f>_xlfn.IFNA(VLOOKUP(Vulnerabilities!C208,Assets!A:C,3,FALSE),"")</x:f>
      </x:c>
      <x:c r="G208" s="26" t="str">
        <x:f t="shared" si="3"/>
      </x:c>
      <x:c r="K208" s="26" t="str">
        <x:f>_xlfn.IFNA(VLOOKUP(_xlfn.CONCAT(I208,"|",J208),RiskValues!C:D,2,FALSE),"")</x:f>
      </x:c>
    </x:row>
    <x:row r="209">
      <x:c r="B209" s="25" t="str">
        <x:f>_xlfn.IFNA(VLOOKUP(A209,InfoSecThreats!A:B,2,FALSE),"")</x:f>
      </x:c>
      <x:c r="D209" s="25" t="str">
        <x:f>_xlfn.IFNA(VLOOKUP(Vulnerabilities!C209,Assets!A:C,2,FALSE),"")</x:f>
      </x:c>
      <x:c r="E209" s="25" t="str">
        <x:f>_xlfn.IFNA(VLOOKUP(Vulnerabilities!C209,Assets!A:C,3,FALSE),"")</x:f>
      </x:c>
      <x:c r="G209" s="26" t="str">
        <x:f t="shared" si="3"/>
      </x:c>
      <x:c r="K209" s="26" t="str">
        <x:f>_xlfn.IFNA(VLOOKUP(_xlfn.CONCAT(I209,"|",J209),RiskValues!C:D,2,FALSE),"")</x:f>
      </x:c>
    </x:row>
    <x:row r="210">
      <x:c r="B210" s="25" t="str">
        <x:f>_xlfn.IFNA(VLOOKUP(A210,InfoSecThreats!A:B,2,FALSE),"")</x:f>
      </x:c>
      <x:c r="D210" s="25" t="str">
        <x:f>_xlfn.IFNA(VLOOKUP(Vulnerabilities!C210,Assets!A:C,2,FALSE),"")</x:f>
      </x:c>
      <x:c r="E210" s="25" t="str">
        <x:f>_xlfn.IFNA(VLOOKUP(Vulnerabilities!C210,Assets!A:C,3,FALSE),"")</x:f>
      </x:c>
      <x:c r="G210" s="26" t="str">
        <x:f t="shared" si="3"/>
      </x:c>
      <x:c r="K210" s="26" t="str">
        <x:f>_xlfn.IFNA(VLOOKUP(_xlfn.CONCAT(I210,"|",J210),RiskValues!C:D,2,FALSE),"")</x:f>
      </x:c>
    </x:row>
    <x:row r="211">
      <x:c r="B211" s="25" t="str">
        <x:f>_xlfn.IFNA(VLOOKUP(A211,InfoSecThreats!A:B,2,FALSE),"")</x:f>
      </x:c>
      <x:c r="D211" s="25" t="str">
        <x:f>_xlfn.IFNA(VLOOKUP(Vulnerabilities!C211,Assets!A:C,2,FALSE),"")</x:f>
      </x:c>
      <x:c r="E211" s="25" t="str">
        <x:f>_xlfn.IFNA(VLOOKUP(Vulnerabilities!C211,Assets!A:C,3,FALSE),"")</x:f>
      </x:c>
      <x:c r="G211" s="26" t="str">
        <x:f t="shared" si="3"/>
      </x:c>
      <x:c r="K211" s="26" t="str">
        <x:f>_xlfn.IFNA(VLOOKUP(_xlfn.CONCAT(I211,"|",J211),RiskValues!C:D,2,FALSE),"")</x:f>
      </x:c>
    </x:row>
    <x:row r="212">
      <x:c r="B212" s="25" t="str">
        <x:f>_xlfn.IFNA(VLOOKUP(A212,InfoSecThreats!A:B,2,FALSE),"")</x:f>
      </x:c>
      <x:c r="D212" s="25" t="str">
        <x:f>_xlfn.IFNA(VLOOKUP(Vulnerabilities!C212,Assets!A:C,2,FALSE),"")</x:f>
      </x:c>
      <x:c r="E212" s="25" t="str">
        <x:f>_xlfn.IFNA(VLOOKUP(Vulnerabilities!C212,Assets!A:C,3,FALSE),"")</x:f>
      </x:c>
      <x:c r="G212" s="26" t="str">
        <x:f t="shared" si="3"/>
      </x:c>
      <x:c r="K212" s="26" t="str">
        <x:f>_xlfn.IFNA(VLOOKUP(_xlfn.CONCAT(I212,"|",J212),RiskValues!C:D,2,FALSE),"")</x:f>
      </x:c>
    </x:row>
    <x:row r="213">
      <x:c r="B213" s="25" t="str">
        <x:f>_xlfn.IFNA(VLOOKUP(A213,InfoSecThreats!A:B,2,FALSE),"")</x:f>
      </x:c>
      <x:c r="D213" s="25" t="str">
        <x:f>_xlfn.IFNA(VLOOKUP(Vulnerabilities!C213,Assets!A:C,2,FALSE),"")</x:f>
      </x:c>
      <x:c r="E213" s="25" t="str">
        <x:f>_xlfn.IFNA(VLOOKUP(Vulnerabilities!C213,Assets!A:C,3,FALSE),"")</x:f>
      </x:c>
      <x:c r="G213" s="26" t="str">
        <x:f t="shared" si="3"/>
      </x:c>
      <x:c r="K213" s="26" t="str">
        <x:f>_xlfn.IFNA(VLOOKUP(_xlfn.CONCAT(I213,"|",J213),RiskValues!C:D,2,FALSE),"")</x:f>
      </x:c>
    </x:row>
    <x:row r="214">
      <x:c r="B214" s="25" t="str">
        <x:f>_xlfn.IFNA(VLOOKUP(A214,InfoSecThreats!A:B,2,FALSE),"")</x:f>
      </x:c>
      <x:c r="D214" s="25" t="str">
        <x:f>_xlfn.IFNA(VLOOKUP(Vulnerabilities!C214,Assets!A:C,2,FALSE),"")</x:f>
      </x:c>
      <x:c r="E214" s="25" t="str">
        <x:f>_xlfn.IFNA(VLOOKUP(Vulnerabilities!C214,Assets!A:C,3,FALSE),"")</x:f>
      </x:c>
      <x:c r="G214" s="26" t="str">
        <x:f t="shared" si="3"/>
      </x:c>
      <x:c r="K214" s="26" t="str">
        <x:f>_xlfn.IFNA(VLOOKUP(_xlfn.CONCAT(I214,"|",J214),RiskValues!C:D,2,FALSE),"")</x:f>
      </x:c>
    </x:row>
    <x:row r="215">
      <x:c r="B215" s="25" t="str">
        <x:f>_xlfn.IFNA(VLOOKUP(A215,InfoSecThreats!A:B,2,FALSE),"")</x:f>
      </x:c>
      <x:c r="D215" s="25" t="str">
        <x:f>_xlfn.IFNA(VLOOKUP(Vulnerabilities!C215,Assets!A:C,2,FALSE),"")</x:f>
      </x:c>
      <x:c r="E215" s="25" t="str">
        <x:f>_xlfn.IFNA(VLOOKUP(Vulnerabilities!C215,Assets!A:C,3,FALSE),"")</x:f>
      </x:c>
      <x:c r="G215" s="26" t="str">
        <x:f t="shared" si="3"/>
      </x:c>
      <x:c r="K215" s="26" t="str">
        <x:f>_xlfn.IFNA(VLOOKUP(_xlfn.CONCAT(I215,"|",J215),RiskValues!C:D,2,FALSE),"")</x:f>
      </x:c>
    </x:row>
    <x:row r="216">
      <x:c r="B216" s="25" t="str">
        <x:f>_xlfn.IFNA(VLOOKUP(A216,InfoSecThreats!A:B,2,FALSE),"")</x:f>
      </x:c>
      <x:c r="D216" s="25" t="str">
        <x:f>_xlfn.IFNA(VLOOKUP(Vulnerabilities!C216,Assets!A:C,2,FALSE),"")</x:f>
      </x:c>
      <x:c r="E216" s="25" t="str">
        <x:f>_xlfn.IFNA(VLOOKUP(Vulnerabilities!C216,Assets!A:C,3,FALSE),"")</x:f>
      </x:c>
      <x:c r="G216" s="26" t="str">
        <x:f t="shared" si="3"/>
      </x:c>
      <x:c r="K216" s="26" t="str">
        <x:f>_xlfn.IFNA(VLOOKUP(_xlfn.CONCAT(I216,"|",J216),RiskValues!C:D,2,FALSE),"")</x:f>
      </x:c>
    </x:row>
    <x:row r="217">
      <x:c r="B217" s="25" t="str">
        <x:f>_xlfn.IFNA(VLOOKUP(A217,InfoSecThreats!A:B,2,FALSE),"")</x:f>
      </x:c>
      <x:c r="D217" s="25" t="str">
        <x:f>_xlfn.IFNA(VLOOKUP(Vulnerabilities!C217,Assets!A:C,2,FALSE),"")</x:f>
      </x:c>
      <x:c r="E217" s="25" t="str">
        <x:f>_xlfn.IFNA(VLOOKUP(Vulnerabilities!C217,Assets!A:C,3,FALSE),"")</x:f>
      </x:c>
      <x:c r="G217" s="26" t="str">
        <x:f t="shared" si="3"/>
      </x:c>
      <x:c r="K217" s="26" t="str">
        <x:f>_xlfn.IFNA(VLOOKUP(_xlfn.CONCAT(I217,"|",J217),RiskValues!C:D,2,FALSE),"")</x:f>
      </x:c>
    </x:row>
    <x:row r="218">
      <x:c r="B218" s="25" t="str">
        <x:f>_xlfn.IFNA(VLOOKUP(A218,InfoSecThreats!A:B,2,FALSE),"")</x:f>
      </x:c>
      <x:c r="D218" s="25" t="str">
        <x:f>_xlfn.IFNA(VLOOKUP(Vulnerabilities!C218,Assets!A:C,2,FALSE),"")</x:f>
      </x:c>
      <x:c r="E218" s="25" t="str">
        <x:f>_xlfn.IFNA(VLOOKUP(Vulnerabilities!C218,Assets!A:C,3,FALSE),"")</x:f>
      </x:c>
      <x:c r="G218" s="26" t="str">
        <x:f t="shared" si="3"/>
      </x:c>
      <x:c r="K218" s="26" t="str">
        <x:f>_xlfn.IFNA(VLOOKUP(_xlfn.CONCAT(I218,"|",J218),RiskValues!C:D,2,FALSE),"")</x:f>
      </x:c>
    </x:row>
    <x:row r="219">
      <x:c r="B219" s="25" t="str">
        <x:f>_xlfn.IFNA(VLOOKUP(A219,InfoSecThreats!A:B,2,FALSE),"")</x:f>
      </x:c>
      <x:c r="D219" s="25" t="str">
        <x:f>_xlfn.IFNA(VLOOKUP(Vulnerabilities!C219,Assets!A:C,2,FALSE),"")</x:f>
      </x:c>
      <x:c r="E219" s="25" t="str">
        <x:f>_xlfn.IFNA(VLOOKUP(Vulnerabilities!C219,Assets!A:C,3,FALSE),"")</x:f>
      </x:c>
      <x:c r="G219" s="26" t="str">
        <x:f t="shared" si="3"/>
      </x:c>
      <x:c r="K219" s="26" t="str">
        <x:f>_xlfn.IFNA(VLOOKUP(_xlfn.CONCAT(I219,"|",J219),RiskValues!C:D,2,FALSE),"")</x:f>
      </x:c>
    </x:row>
    <x:row r="220">
      <x:c r="B220" s="25" t="str">
        <x:f>_xlfn.IFNA(VLOOKUP(A220,InfoSecThreats!A:B,2,FALSE),"")</x:f>
      </x:c>
      <x:c r="D220" s="25" t="str">
        <x:f>_xlfn.IFNA(VLOOKUP(Vulnerabilities!C220,Assets!A:C,2,FALSE),"")</x:f>
      </x:c>
      <x:c r="E220" s="25" t="str">
        <x:f>_xlfn.IFNA(VLOOKUP(Vulnerabilities!C220,Assets!A:C,3,FALSE),"")</x:f>
      </x:c>
      <x:c r="G220" s="26" t="str">
        <x:f t="shared" si="3"/>
      </x:c>
      <x:c r="K220" s="26" t="str">
        <x:f>_xlfn.IFNA(VLOOKUP(_xlfn.CONCAT(I220,"|",J220),RiskValues!C:D,2,FALSE),"")</x:f>
      </x:c>
    </x:row>
    <x:row r="221">
      <x:c r="B221" s="25" t="str">
        <x:f>_xlfn.IFNA(VLOOKUP(A221,InfoSecThreats!A:B,2,FALSE),"")</x:f>
      </x:c>
      <x:c r="D221" s="25" t="str">
        <x:f>_xlfn.IFNA(VLOOKUP(Vulnerabilities!C221,Assets!A:C,2,FALSE),"")</x:f>
      </x:c>
      <x:c r="E221" s="25" t="str">
        <x:f>_xlfn.IFNA(VLOOKUP(Vulnerabilities!C221,Assets!A:C,3,FALSE),"")</x:f>
      </x:c>
      <x:c r="G221" s="26" t="str">
        <x:f t="shared" si="3"/>
      </x:c>
      <x:c r="K221" s="26" t="str">
        <x:f>_xlfn.IFNA(VLOOKUP(_xlfn.CONCAT(I221,"|",J221),RiskValues!C:D,2,FALSE),"")</x:f>
      </x:c>
    </x:row>
    <x:row r="222">
      <x:c r="B222" s="25" t="str">
        <x:f>_xlfn.IFNA(VLOOKUP(A222,InfoSecThreats!A:B,2,FALSE),"")</x:f>
      </x:c>
      <x:c r="D222" s="25" t="str">
        <x:f>_xlfn.IFNA(VLOOKUP(Vulnerabilities!C222,Assets!A:C,2,FALSE),"")</x:f>
      </x:c>
      <x:c r="E222" s="25" t="str">
        <x:f>_xlfn.IFNA(VLOOKUP(Vulnerabilities!C222,Assets!A:C,3,FALSE),"")</x:f>
      </x:c>
      <x:c r="G222" s="26" t="str">
        <x:f t="shared" si="3"/>
      </x:c>
      <x:c r="K222" s="26" t="str">
        <x:f>_xlfn.IFNA(VLOOKUP(_xlfn.CONCAT(I222,"|",J222),RiskValues!C:D,2,FALSE),"")</x:f>
      </x:c>
    </x:row>
    <x:row r="223">
      <x:c r="B223" s="25" t="str">
        <x:f>_xlfn.IFNA(VLOOKUP(A223,InfoSecThreats!A:B,2,FALSE),"")</x:f>
      </x:c>
      <x:c r="D223" s="25" t="str">
        <x:f>_xlfn.IFNA(VLOOKUP(Vulnerabilities!C223,Assets!A:C,2,FALSE),"")</x:f>
      </x:c>
      <x:c r="E223" s="25" t="str">
        <x:f>_xlfn.IFNA(VLOOKUP(Vulnerabilities!C223,Assets!A:C,3,FALSE),"")</x:f>
      </x:c>
      <x:c r="G223" s="26" t="str">
        <x:f t="shared" si="3"/>
      </x:c>
      <x:c r="K223" s="26" t="str">
        <x:f>_xlfn.IFNA(VLOOKUP(_xlfn.CONCAT(I223,"|",J223),RiskValues!C:D,2,FALSE),"")</x:f>
      </x:c>
    </x:row>
    <x:row r="224">
      <x:c r="B224" s="25" t="str">
        <x:f>_xlfn.IFNA(VLOOKUP(A224,InfoSecThreats!A:B,2,FALSE),"")</x:f>
      </x:c>
      <x:c r="D224" s="25" t="str">
        <x:f>_xlfn.IFNA(VLOOKUP(Vulnerabilities!C224,Assets!A:C,2,FALSE),"")</x:f>
      </x:c>
      <x:c r="E224" s="25" t="str">
        <x:f>_xlfn.IFNA(VLOOKUP(Vulnerabilities!C224,Assets!A:C,3,FALSE),"")</x:f>
      </x:c>
      <x:c r="G224" s="26" t="str">
        <x:f t="shared" si="3"/>
      </x:c>
      <x:c r="K224" s="26" t="str">
        <x:f>_xlfn.IFNA(VLOOKUP(_xlfn.CONCAT(I224,"|",J224),RiskValues!C:D,2,FALSE),"")</x:f>
      </x:c>
    </x:row>
    <x:row r="225">
      <x:c r="B225" s="25" t="str">
        <x:f>_xlfn.IFNA(VLOOKUP(A225,InfoSecThreats!A:B,2,FALSE),"")</x:f>
      </x:c>
      <x:c r="D225" s="25" t="str">
        <x:f>_xlfn.IFNA(VLOOKUP(Vulnerabilities!C225,Assets!A:C,2,FALSE),"")</x:f>
      </x:c>
      <x:c r="E225" s="25" t="str">
        <x:f>_xlfn.IFNA(VLOOKUP(Vulnerabilities!C225,Assets!A:C,3,FALSE),"")</x:f>
      </x:c>
      <x:c r="G225" s="26" t="str">
        <x:f t="shared" si="3"/>
      </x:c>
      <x:c r="K225" s="26" t="str">
        <x:f>_xlfn.IFNA(VLOOKUP(_xlfn.CONCAT(I225,"|",J225),RiskValues!C:D,2,FALSE),"")</x:f>
      </x:c>
    </x:row>
    <x:row r="226">
      <x:c r="B226" s="25" t="str">
        <x:f>_xlfn.IFNA(VLOOKUP(A226,InfoSecThreats!A:B,2,FALSE),"")</x:f>
      </x:c>
      <x:c r="D226" s="25" t="str">
        <x:f>_xlfn.IFNA(VLOOKUP(Vulnerabilities!C226,Assets!A:C,2,FALSE),"")</x:f>
      </x:c>
      <x:c r="E226" s="25" t="str">
        <x:f>_xlfn.IFNA(VLOOKUP(Vulnerabilities!C226,Assets!A:C,3,FALSE),"")</x:f>
      </x:c>
      <x:c r="G226" s="26" t="str">
        <x:f t="shared" si="3"/>
      </x:c>
      <x:c r="K226" s="26" t="str">
        <x:f>_xlfn.IFNA(VLOOKUP(_xlfn.CONCAT(I226,"|",J226),RiskValues!C:D,2,FALSE),"")</x:f>
      </x:c>
    </x:row>
    <x:row r="227">
      <x:c r="B227" s="25" t="str">
        <x:f>_xlfn.IFNA(VLOOKUP(A227,InfoSecThreats!A:B,2,FALSE),"")</x:f>
      </x:c>
      <x:c r="D227" s="25" t="str">
        <x:f>_xlfn.IFNA(VLOOKUP(Vulnerabilities!C227,Assets!A:C,2,FALSE),"")</x:f>
      </x:c>
      <x:c r="E227" s="25" t="str">
        <x:f>_xlfn.IFNA(VLOOKUP(Vulnerabilities!C227,Assets!A:C,3,FALSE),"")</x:f>
      </x:c>
      <x:c r="G227" s="26" t="str">
        <x:f t="shared" si="3"/>
      </x:c>
      <x:c r="K227" s="26" t="str">
        <x:f>_xlfn.IFNA(VLOOKUP(_xlfn.CONCAT(I227,"|",J227),RiskValues!C:D,2,FALSE),"")</x:f>
      </x:c>
    </x:row>
    <x:row r="228">
      <x:c r="B228" s="25" t="str">
        <x:f>_xlfn.IFNA(VLOOKUP(A228,InfoSecThreats!A:B,2,FALSE),"")</x:f>
      </x:c>
      <x:c r="D228" s="25" t="str">
        <x:f>_xlfn.IFNA(VLOOKUP(Vulnerabilities!C228,Assets!A:C,2,FALSE),"")</x:f>
      </x:c>
      <x:c r="E228" s="25" t="str">
        <x:f>_xlfn.IFNA(VLOOKUP(Vulnerabilities!C228,Assets!A:C,3,FALSE),"")</x:f>
      </x:c>
      <x:c r="G228" s="26" t="str">
        <x:f t="shared" si="3"/>
      </x:c>
      <x:c r="K228" s="26" t="str">
        <x:f>_xlfn.IFNA(VLOOKUP(_xlfn.CONCAT(I228,"|",J228),RiskValues!C:D,2,FALSE),"")</x:f>
      </x:c>
    </x:row>
    <x:row r="229">
      <x:c r="B229" s="25" t="str">
        <x:f>_xlfn.IFNA(VLOOKUP(A229,InfoSecThreats!A:B,2,FALSE),"")</x:f>
      </x:c>
      <x:c r="D229" s="25" t="str">
        <x:f>_xlfn.IFNA(VLOOKUP(Vulnerabilities!C229,Assets!A:C,2,FALSE),"")</x:f>
      </x:c>
      <x:c r="E229" s="25" t="str">
        <x:f>_xlfn.IFNA(VLOOKUP(Vulnerabilities!C229,Assets!A:C,3,FALSE),"")</x:f>
      </x:c>
      <x:c r="G229" s="26" t="str">
        <x:f t="shared" si="3"/>
      </x:c>
      <x:c r="K229" s="26" t="str">
        <x:f>_xlfn.IFNA(VLOOKUP(_xlfn.CONCAT(I229,"|",J229),RiskValues!C:D,2,FALSE),"")</x:f>
      </x:c>
    </x:row>
    <x:row r="230">
      <x:c r="B230" s="25" t="str">
        <x:f>_xlfn.IFNA(VLOOKUP(A230,InfoSecThreats!A:B,2,FALSE),"")</x:f>
      </x:c>
      <x:c r="D230" s="25" t="str">
        <x:f>_xlfn.IFNA(VLOOKUP(Vulnerabilities!C230,Assets!A:C,2,FALSE),"")</x:f>
      </x:c>
      <x:c r="E230" s="25" t="str">
        <x:f>_xlfn.IFNA(VLOOKUP(Vulnerabilities!C230,Assets!A:C,3,FALSE),"")</x:f>
      </x:c>
      <x:c r="G230" s="26" t="str">
        <x:f t="shared" si="3"/>
      </x:c>
      <x:c r="K230" s="26" t="str">
        <x:f>_xlfn.IFNA(VLOOKUP(_xlfn.CONCAT(I230,"|",J230),RiskValues!C:D,2,FALSE),"")</x:f>
      </x:c>
    </x:row>
    <x:row r="231">
      <x:c r="B231" s="25" t="str">
        <x:f>_xlfn.IFNA(VLOOKUP(A231,InfoSecThreats!A:B,2,FALSE),"")</x:f>
      </x:c>
      <x:c r="D231" s="25" t="str">
        <x:f>_xlfn.IFNA(VLOOKUP(Vulnerabilities!C231,Assets!A:C,2,FALSE),"")</x:f>
      </x:c>
      <x:c r="E231" s="25" t="str">
        <x:f>_xlfn.IFNA(VLOOKUP(Vulnerabilities!C231,Assets!A:C,3,FALSE),"")</x:f>
      </x:c>
      <x:c r="G231" s="26" t="str">
        <x:f t="shared" si="3"/>
      </x:c>
      <x:c r="K231" s="26" t="str">
        <x:f>_xlfn.IFNA(VLOOKUP(_xlfn.CONCAT(I231,"|",J231),RiskValues!C:D,2,FALSE),"")</x:f>
      </x:c>
    </x:row>
    <x:row r="232">
      <x:c r="B232" s="25" t="str">
        <x:f>_xlfn.IFNA(VLOOKUP(A232,InfoSecThreats!A:B,2,FALSE),"")</x:f>
      </x:c>
      <x:c r="D232" s="25" t="str">
        <x:f>_xlfn.IFNA(VLOOKUP(Vulnerabilities!C232,Assets!A:C,2,FALSE),"")</x:f>
      </x:c>
      <x:c r="E232" s="25" t="str">
        <x:f>_xlfn.IFNA(VLOOKUP(Vulnerabilities!C232,Assets!A:C,3,FALSE),"")</x:f>
      </x:c>
      <x:c r="G232" s="26" t="str">
        <x:f t="shared" si="3"/>
      </x:c>
      <x:c r="K232" s="26" t="str">
        <x:f>_xlfn.IFNA(VLOOKUP(_xlfn.CONCAT(I232,"|",J232),RiskValues!C:D,2,FALSE),"")</x:f>
      </x:c>
    </x:row>
    <x:row r="233">
      <x:c r="B233" s="25" t="str">
        <x:f>_xlfn.IFNA(VLOOKUP(A233,InfoSecThreats!A:B,2,FALSE),"")</x:f>
      </x:c>
      <x:c r="D233" s="25" t="str">
        <x:f>_xlfn.IFNA(VLOOKUP(Vulnerabilities!C233,Assets!A:C,2,FALSE),"")</x:f>
      </x:c>
      <x:c r="E233" s="25" t="str">
        <x:f>_xlfn.IFNA(VLOOKUP(Vulnerabilities!C233,Assets!A:C,3,FALSE),"")</x:f>
      </x:c>
      <x:c r="G233" s="26" t="str">
        <x:f t="shared" si="3"/>
      </x:c>
      <x:c r="K233" s="26" t="str">
        <x:f>_xlfn.IFNA(VLOOKUP(_xlfn.CONCAT(I233,"|",J233),RiskValues!C:D,2,FALSE),"")</x:f>
      </x:c>
    </x:row>
    <x:row r="234">
      <x:c r="B234" s="25" t="str">
        <x:f>_xlfn.IFNA(VLOOKUP(A234,InfoSecThreats!A:B,2,FALSE),"")</x:f>
      </x:c>
      <x:c r="D234" s="25" t="str">
        <x:f>_xlfn.IFNA(VLOOKUP(Vulnerabilities!C234,Assets!A:C,2,FALSE),"")</x:f>
      </x:c>
      <x:c r="E234" s="25" t="str">
        <x:f>_xlfn.IFNA(VLOOKUP(Vulnerabilities!C234,Assets!A:C,3,FALSE),"")</x:f>
      </x:c>
      <x:c r="G234" s="26" t="str">
        <x:f t="shared" si="3"/>
      </x:c>
      <x:c r="K234" s="26" t="str">
        <x:f>_xlfn.IFNA(VLOOKUP(_xlfn.CONCAT(I234,"|",J234),RiskValues!C:D,2,FALSE),"")</x:f>
      </x:c>
    </x:row>
    <x:row r="235">
      <x:c r="B235" s="25" t="str">
        <x:f>_xlfn.IFNA(VLOOKUP(A235,InfoSecThreats!A:B,2,FALSE),"")</x:f>
      </x:c>
      <x:c r="D235" s="25" t="str">
        <x:f>_xlfn.IFNA(VLOOKUP(Vulnerabilities!C235,Assets!A:C,2,FALSE),"")</x:f>
      </x:c>
      <x:c r="E235" s="25" t="str">
        <x:f>_xlfn.IFNA(VLOOKUP(Vulnerabilities!C235,Assets!A:C,3,FALSE),"")</x:f>
      </x:c>
      <x:c r="G235" s="26" t="str">
        <x:f t="shared" si="3"/>
      </x:c>
      <x:c r="K235" s="26" t="str">
        <x:f>_xlfn.IFNA(VLOOKUP(_xlfn.CONCAT(I235,"|",J235),RiskValues!C:D,2,FALSE),"")</x:f>
      </x:c>
    </x:row>
    <x:row r="236">
      <x:c r="B236" s="25" t="str">
        <x:f>_xlfn.IFNA(VLOOKUP(A236,InfoSecThreats!A:B,2,FALSE),"")</x:f>
      </x:c>
      <x:c r="D236" s="25" t="str">
        <x:f>_xlfn.IFNA(VLOOKUP(Vulnerabilities!C236,Assets!A:C,2,FALSE),"")</x:f>
      </x:c>
      <x:c r="E236" s="25" t="str">
        <x:f>_xlfn.IFNA(VLOOKUP(Vulnerabilities!C236,Assets!A:C,3,FALSE),"")</x:f>
      </x:c>
      <x:c r="G236" s="26" t="str">
        <x:f t="shared" si="3"/>
      </x:c>
      <x:c r="K236" s="26" t="str">
        <x:f>_xlfn.IFNA(VLOOKUP(_xlfn.CONCAT(I236,"|",J236),RiskValues!C:D,2,FALSE),"")</x:f>
      </x:c>
    </x:row>
    <x:row r="237">
      <x:c r="B237" s="25" t="str">
        <x:f>_xlfn.IFNA(VLOOKUP(A237,InfoSecThreats!A:B,2,FALSE),"")</x:f>
      </x:c>
      <x:c r="D237" s="25" t="str">
        <x:f>_xlfn.IFNA(VLOOKUP(Vulnerabilities!C237,Assets!A:C,2,FALSE),"")</x:f>
      </x:c>
      <x:c r="E237" s="25" t="str">
        <x:f>_xlfn.IFNA(VLOOKUP(Vulnerabilities!C237,Assets!A:C,3,FALSE),"")</x:f>
      </x:c>
      <x:c r="G237" s="26" t="str">
        <x:f t="shared" si="3"/>
      </x:c>
      <x:c r="K237" s="26" t="str">
        <x:f>_xlfn.IFNA(VLOOKUP(_xlfn.CONCAT(I237,"|",J237),RiskValues!C:D,2,FALSE),"")</x:f>
      </x:c>
    </x:row>
    <x:row r="238">
      <x:c r="B238" s="25" t="str">
        <x:f>_xlfn.IFNA(VLOOKUP(A238,InfoSecThreats!A:B,2,FALSE),"")</x:f>
      </x:c>
      <x:c r="D238" s="25" t="str">
        <x:f>_xlfn.IFNA(VLOOKUP(Vulnerabilities!C238,Assets!A:C,2,FALSE),"")</x:f>
      </x:c>
      <x:c r="E238" s="25" t="str">
        <x:f>_xlfn.IFNA(VLOOKUP(Vulnerabilities!C238,Assets!A:C,3,FALSE),"")</x:f>
      </x:c>
      <x:c r="G238" s="26" t="str">
        <x:f t="shared" si="3"/>
      </x:c>
      <x:c r="K238" s="26" t="str">
        <x:f>_xlfn.IFNA(VLOOKUP(_xlfn.CONCAT(I238,"|",J238),RiskValues!C:D,2,FALSE),"")</x:f>
      </x:c>
    </x:row>
    <x:row r="239">
      <x:c r="B239" s="25" t="str">
        <x:f>_xlfn.IFNA(VLOOKUP(A239,InfoSecThreats!A:B,2,FALSE),"")</x:f>
      </x:c>
      <x:c r="D239" s="25" t="str">
        <x:f>_xlfn.IFNA(VLOOKUP(Vulnerabilities!C239,Assets!A:C,2,FALSE),"")</x:f>
      </x:c>
      <x:c r="E239" s="25" t="str">
        <x:f>_xlfn.IFNA(VLOOKUP(Vulnerabilities!C239,Assets!A:C,3,FALSE),"")</x:f>
      </x:c>
      <x:c r="G239" s="26" t="str">
        <x:f t="shared" si="3"/>
      </x:c>
      <x:c r="K239" s="26" t="str">
        <x:f>_xlfn.IFNA(VLOOKUP(_xlfn.CONCAT(I239,"|",J239),RiskValues!C:D,2,FALSE),"")</x:f>
      </x:c>
    </x:row>
    <x:row r="240">
      <x:c r="B240" s="25" t="str">
        <x:f>_xlfn.IFNA(VLOOKUP(A240,InfoSecThreats!A:B,2,FALSE),"")</x:f>
      </x:c>
      <x:c r="D240" s="25" t="str">
        <x:f>_xlfn.IFNA(VLOOKUP(Vulnerabilities!C240,Assets!A:C,2,FALSE),"")</x:f>
      </x:c>
      <x:c r="E240" s="25" t="str">
        <x:f>_xlfn.IFNA(VLOOKUP(Vulnerabilities!C240,Assets!A:C,3,FALSE),"")</x:f>
      </x:c>
      <x:c r="G240" s="26" t="str">
        <x:f t="shared" si="3"/>
      </x:c>
      <x:c r="K240" s="26" t="str">
        <x:f>_xlfn.IFNA(VLOOKUP(_xlfn.CONCAT(I240,"|",J240),RiskValues!C:D,2,FALSE),"")</x:f>
      </x:c>
    </x:row>
    <x:row r="241">
      <x:c r="B241" s="25" t="str">
        <x:f>_xlfn.IFNA(VLOOKUP(A241,InfoSecThreats!A:B,2,FALSE),"")</x:f>
      </x:c>
      <x:c r="D241" s="25" t="str">
        <x:f>_xlfn.IFNA(VLOOKUP(Vulnerabilities!C241,Assets!A:C,2,FALSE),"")</x:f>
      </x:c>
      <x:c r="E241" s="25" t="str">
        <x:f>_xlfn.IFNA(VLOOKUP(Vulnerabilities!C241,Assets!A:C,3,FALSE),"")</x:f>
      </x:c>
      <x:c r="G241" s="26" t="str">
        <x:f t="shared" si="3"/>
      </x:c>
      <x:c r="K241" s="26" t="str">
        <x:f>_xlfn.IFNA(VLOOKUP(_xlfn.CONCAT(I241,"|",J241),RiskValues!C:D,2,FALSE),"")</x:f>
      </x:c>
    </x:row>
    <x:row r="242">
      <x:c r="B242" s="25" t="str">
        <x:f>_xlfn.IFNA(VLOOKUP(A242,InfoSecThreats!A:B,2,FALSE),"")</x:f>
      </x:c>
      <x:c r="D242" s="25" t="str">
        <x:f>_xlfn.IFNA(VLOOKUP(Vulnerabilities!C242,Assets!A:C,2,FALSE),"")</x:f>
      </x:c>
      <x:c r="E242" s="25" t="str">
        <x:f>_xlfn.IFNA(VLOOKUP(Vulnerabilities!C242,Assets!A:C,3,FALSE),"")</x:f>
      </x:c>
      <x:c r="G242" s="26" t="str">
        <x:f t="shared" si="3"/>
      </x:c>
      <x:c r="K242" s="26" t="str">
        <x:f>_xlfn.IFNA(VLOOKUP(_xlfn.CONCAT(I242,"|",J242),RiskValues!C:D,2,FALSE),"")</x:f>
      </x:c>
    </x:row>
    <x:row r="243">
      <x:c r="B243" s="25" t="str">
        <x:f>_xlfn.IFNA(VLOOKUP(A243,InfoSecThreats!A:B,2,FALSE),"")</x:f>
      </x:c>
      <x:c r="D243" s="25" t="str">
        <x:f>_xlfn.IFNA(VLOOKUP(Vulnerabilities!C243,Assets!A:C,2,FALSE),"")</x:f>
      </x:c>
      <x:c r="E243" s="25" t="str">
        <x:f>_xlfn.IFNA(VLOOKUP(Vulnerabilities!C243,Assets!A:C,3,FALSE),"")</x:f>
      </x:c>
      <x:c r="G243" s="26" t="str">
        <x:f t="shared" si="3"/>
      </x:c>
      <x:c r="K243" s="26" t="str">
        <x:f>_xlfn.IFNA(VLOOKUP(_xlfn.CONCAT(I243,"|",J243),RiskValues!C:D,2,FALSE),"")</x:f>
      </x:c>
    </x:row>
    <x:row r="244">
      <x:c r="B244" s="25" t="str">
        <x:f>_xlfn.IFNA(VLOOKUP(A244,InfoSecThreats!A:B,2,FALSE),"")</x:f>
      </x:c>
      <x:c r="D244" s="25" t="str">
        <x:f>_xlfn.IFNA(VLOOKUP(Vulnerabilities!C244,Assets!A:C,2,FALSE),"")</x:f>
      </x:c>
      <x:c r="E244" s="25" t="str">
        <x:f>_xlfn.IFNA(VLOOKUP(Vulnerabilities!C244,Assets!A:C,3,FALSE),"")</x:f>
      </x:c>
      <x:c r="G244" s="26" t="str">
        <x:f t="shared" si="3"/>
      </x:c>
      <x:c r="K244" s="26" t="str">
        <x:f>_xlfn.IFNA(VLOOKUP(_xlfn.CONCAT(I244,"|",J244),RiskValues!C:D,2,FALSE),"")</x:f>
      </x:c>
    </x:row>
    <x:row r="245">
      <x:c r="B245" s="25" t="str">
        <x:f>_xlfn.IFNA(VLOOKUP(A245,InfoSecThreats!A:B,2,FALSE),"")</x:f>
      </x:c>
      <x:c r="D245" s="25" t="str">
        <x:f>_xlfn.IFNA(VLOOKUP(Vulnerabilities!C245,Assets!A:C,2,FALSE),"")</x:f>
      </x:c>
      <x:c r="E245" s="25" t="str">
        <x:f>_xlfn.IFNA(VLOOKUP(Vulnerabilities!C245,Assets!A:C,3,FALSE),"")</x:f>
      </x:c>
      <x:c r="G245" s="26" t="str">
        <x:f t="shared" si="3"/>
      </x:c>
      <x:c r="K245" s="26" t="str">
        <x:f>_xlfn.IFNA(VLOOKUP(_xlfn.CONCAT(I245,"|",J245),RiskValues!C:D,2,FALSE),"")</x:f>
      </x:c>
    </x:row>
    <x:row r="246">
      <x:c r="B246" s="25" t="str">
        <x:f>_xlfn.IFNA(VLOOKUP(A246,InfoSecThreats!A:B,2,FALSE),"")</x:f>
      </x:c>
      <x:c r="D246" s="25" t="str">
        <x:f>_xlfn.IFNA(VLOOKUP(Vulnerabilities!C246,Assets!A:C,2,FALSE),"")</x:f>
      </x:c>
      <x:c r="E246" s="25" t="str">
        <x:f>_xlfn.IFNA(VLOOKUP(Vulnerabilities!C246,Assets!A:C,3,FALSE),"")</x:f>
      </x:c>
      <x:c r="G246" s="26" t="str">
        <x:f t="shared" si="3"/>
      </x:c>
      <x:c r="K246" s="26" t="str">
        <x:f>_xlfn.IFNA(VLOOKUP(_xlfn.CONCAT(I246,"|",J246),RiskValues!C:D,2,FALSE),"")</x:f>
      </x:c>
    </x:row>
    <x:row r="247">
      <x:c r="B247" s="25" t="str">
        <x:f>_xlfn.IFNA(VLOOKUP(A247,InfoSecThreats!A:B,2,FALSE),"")</x:f>
      </x:c>
      <x:c r="D247" s="25" t="str">
        <x:f>_xlfn.IFNA(VLOOKUP(Vulnerabilities!C247,Assets!A:C,2,FALSE),"")</x:f>
      </x:c>
      <x:c r="E247" s="25" t="str">
        <x:f>_xlfn.IFNA(VLOOKUP(Vulnerabilities!C247,Assets!A:C,3,FALSE),"")</x:f>
      </x:c>
      <x:c r="G247" s="26" t="str">
        <x:f t="shared" si="3"/>
      </x:c>
      <x:c r="K247" s="26" t="str">
        <x:f>_xlfn.IFNA(VLOOKUP(_xlfn.CONCAT(I247,"|",J247),RiskValues!C:D,2,FALSE),"")</x:f>
      </x:c>
    </x:row>
    <x:row r="248">
      <x:c r="B248" s="25" t="str">
        <x:f>_xlfn.IFNA(VLOOKUP(A248,InfoSecThreats!A:B,2,FALSE),"")</x:f>
      </x:c>
      <x:c r="D248" s="25" t="str">
        <x:f>_xlfn.IFNA(VLOOKUP(Vulnerabilities!C248,Assets!A:C,2,FALSE),"")</x:f>
      </x:c>
      <x:c r="E248" s="25" t="str">
        <x:f>_xlfn.IFNA(VLOOKUP(Vulnerabilities!C248,Assets!A:C,3,FALSE),"")</x:f>
      </x:c>
      <x:c r="G248" s="26" t="str">
        <x:f t="shared" si="3"/>
      </x:c>
      <x:c r="K248" s="26" t="str">
        <x:f>_xlfn.IFNA(VLOOKUP(_xlfn.CONCAT(I248,"|",J248),RiskValues!C:D,2,FALSE),"")</x:f>
      </x:c>
    </x:row>
    <x:row r="249">
      <x:c r="B249" s="25" t="str">
        <x:f>_xlfn.IFNA(VLOOKUP(A249,InfoSecThreats!A:B,2,FALSE),"")</x:f>
      </x:c>
      <x:c r="D249" s="25" t="str">
        <x:f>_xlfn.IFNA(VLOOKUP(Vulnerabilities!C249,Assets!A:C,2,FALSE),"")</x:f>
      </x:c>
      <x:c r="E249" s="25" t="str">
        <x:f>_xlfn.IFNA(VLOOKUP(Vulnerabilities!C249,Assets!A:C,3,FALSE),"")</x:f>
      </x:c>
      <x:c r="G249" s="26" t="str">
        <x:f t="shared" si="3"/>
      </x:c>
      <x:c r="K249" s="26" t="str">
        <x:f>_xlfn.IFNA(VLOOKUP(_xlfn.CONCAT(I249,"|",J249),RiskValues!C:D,2,FALSE),"")</x:f>
      </x:c>
    </x:row>
    <x:row r="250">
      <x:c r="B250" s="25" t="str">
        <x:f>_xlfn.IFNA(VLOOKUP(A250,InfoSecThreats!A:B,2,FALSE),"")</x:f>
      </x:c>
      <x:c r="D250" s="25" t="str">
        <x:f>_xlfn.IFNA(VLOOKUP(Vulnerabilities!C250,Assets!A:C,2,FALSE),"")</x:f>
      </x:c>
      <x:c r="E250" s="25" t="str">
        <x:f>_xlfn.IFNA(VLOOKUP(Vulnerabilities!C250,Assets!A:C,3,FALSE),"")</x:f>
      </x:c>
      <x:c r="G250" s="26" t="str">
        <x:f t="shared" si="3"/>
      </x:c>
      <x:c r="K250" s="26" t="str">
        <x:f>_xlfn.IFNA(VLOOKUP(_xlfn.CONCAT(I250,"|",J250),RiskValues!C:D,2,FALSE),"")</x:f>
      </x:c>
    </x:row>
    <x:row r="251">
      <x:c r="B251" s="25" t="str">
        <x:f>_xlfn.IFNA(VLOOKUP(A251,InfoSecThreats!A:B,2,FALSE),"")</x:f>
      </x:c>
      <x:c r="D251" s="25" t="str">
        <x:f>_xlfn.IFNA(VLOOKUP(Vulnerabilities!C251,Assets!A:C,2,FALSE),"")</x:f>
      </x:c>
      <x:c r="E251" s="25" t="str">
        <x:f>_xlfn.IFNA(VLOOKUP(Vulnerabilities!C251,Assets!A:C,3,FALSE),"")</x:f>
      </x:c>
      <x:c r="G251" s="26" t="str">
        <x:f t="shared" si="3"/>
      </x:c>
      <x:c r="K251" s="26" t="str">
        <x:f>_xlfn.IFNA(VLOOKUP(_xlfn.CONCAT(I251,"|",J251),RiskValues!C:D,2,FALSE),"")</x:f>
      </x:c>
    </x:row>
    <x:row r="252">
      <x:c r="B252" s="25" t="str">
        <x:f>_xlfn.IFNA(VLOOKUP(A252,InfoSecThreats!A:B,2,FALSE),"")</x:f>
      </x:c>
      <x:c r="D252" s="25" t="str">
        <x:f>_xlfn.IFNA(VLOOKUP(Vulnerabilities!C252,Assets!A:C,2,FALSE),"")</x:f>
      </x:c>
      <x:c r="E252" s="25" t="str">
        <x:f>_xlfn.IFNA(VLOOKUP(Vulnerabilities!C252,Assets!A:C,3,FALSE),"")</x:f>
      </x:c>
      <x:c r="G252" s="26" t="str">
        <x:f t="shared" si="3"/>
      </x:c>
      <x:c r="K252" s="26" t="str">
        <x:f>_xlfn.IFNA(VLOOKUP(_xlfn.CONCAT(I252,"|",J252),RiskValues!C:D,2,FALSE),"")</x:f>
      </x:c>
    </x:row>
    <x:row r="253">
      <x:c r="B253" s="25" t="str">
        <x:f>_xlfn.IFNA(VLOOKUP(A253,InfoSecThreats!A:B,2,FALSE),"")</x:f>
      </x:c>
      <x:c r="D253" s="25" t="str">
        <x:f>_xlfn.IFNA(VLOOKUP(Vulnerabilities!C253,Assets!A:C,2,FALSE),"")</x:f>
      </x:c>
      <x:c r="E253" s="25" t="str">
        <x:f>_xlfn.IFNA(VLOOKUP(Vulnerabilities!C253,Assets!A:C,3,FALSE),"")</x:f>
      </x:c>
      <x:c r="G253" s="26" t="str">
        <x:f t="shared" si="3"/>
      </x:c>
      <x:c r="K253" s="26" t="str">
        <x:f>_xlfn.IFNA(VLOOKUP(_xlfn.CONCAT(I253,"|",J253),RiskValues!C:D,2,FALSE),"")</x:f>
      </x:c>
    </x:row>
    <x:row r="254">
      <x:c r="B254" s="25" t="str">
        <x:f>_xlfn.IFNA(VLOOKUP(A254,InfoSecThreats!A:B,2,FALSE),"")</x:f>
      </x:c>
      <x:c r="D254" s="25" t="str">
        <x:f>_xlfn.IFNA(VLOOKUP(Vulnerabilities!C254,Assets!A:C,2,FALSE),"")</x:f>
      </x:c>
      <x:c r="E254" s="25" t="str">
        <x:f>_xlfn.IFNA(VLOOKUP(Vulnerabilities!C254,Assets!A:C,3,FALSE),"")</x:f>
      </x:c>
      <x:c r="G254" s="26" t="str">
        <x:f t="shared" si="3"/>
      </x:c>
      <x:c r="K254" s="26" t="str">
        <x:f>_xlfn.IFNA(VLOOKUP(_xlfn.CONCAT(I254,"|",J254),RiskValues!C:D,2,FALSE),"")</x:f>
      </x:c>
    </x:row>
    <x:row r="255">
      <x:c r="B255" s="25" t="str">
        <x:f>_xlfn.IFNA(VLOOKUP(A255,InfoSecThreats!A:B,2,FALSE),"")</x:f>
      </x:c>
      <x:c r="D255" s="25" t="str">
        <x:f>_xlfn.IFNA(VLOOKUP(Vulnerabilities!C255,Assets!A:C,2,FALSE),"")</x:f>
      </x:c>
      <x:c r="E255" s="25" t="str">
        <x:f>_xlfn.IFNA(VLOOKUP(Vulnerabilities!C255,Assets!A:C,3,FALSE),"")</x:f>
      </x:c>
      <x:c r="G255" s="26" t="str">
        <x:f t="shared" si="3"/>
      </x:c>
      <x:c r="K255" s="26" t="str">
        <x:f>_xlfn.IFNA(VLOOKUP(_xlfn.CONCAT(I255,"|",J255),RiskValues!C:D,2,FALSE),"")</x:f>
      </x:c>
    </x:row>
    <x:row r="256">
      <x:c r="B256" s="25" t="str">
        <x:f>_xlfn.IFNA(VLOOKUP(A256,InfoSecThreats!A:B,2,FALSE),"")</x:f>
      </x:c>
      <x:c r="D256" s="25" t="str">
        <x:f>_xlfn.IFNA(VLOOKUP(Vulnerabilities!C256,Assets!A:C,2,FALSE),"")</x:f>
      </x:c>
      <x:c r="E256" s="25" t="str">
        <x:f>_xlfn.IFNA(VLOOKUP(Vulnerabilities!C256,Assets!A:C,3,FALSE),"")</x:f>
      </x:c>
      <x:c r="G256" s="26" t="str">
        <x:f t="shared" si="3"/>
      </x:c>
      <x:c r="K256" s="26" t="str">
        <x:f>_xlfn.IFNA(VLOOKUP(_xlfn.CONCAT(I256,"|",J256),RiskValues!C:D,2,FALSE),"")</x:f>
      </x:c>
    </x:row>
    <x:row r="257">
      <x:c r="B257" s="25" t="str">
        <x:f>_xlfn.IFNA(VLOOKUP(A257,InfoSecThreats!A:B,2,FALSE),"")</x:f>
      </x:c>
      <x:c r="D257" s="25" t="str">
        <x:f>_xlfn.IFNA(VLOOKUP(Vulnerabilities!C257,Assets!A:C,2,FALSE),"")</x:f>
      </x:c>
      <x:c r="E257" s="25" t="str">
        <x:f>_xlfn.IFNA(VLOOKUP(Vulnerabilities!C257,Assets!A:C,3,FALSE),"")</x:f>
      </x:c>
      <x:c r="G257" s="26" t="str">
        <x:f t="shared" si="3"/>
      </x:c>
      <x:c r="K257" s="26" t="str">
        <x:f>_xlfn.IFNA(VLOOKUP(_xlfn.CONCAT(I257,"|",J257),RiskValues!C:D,2,FALSE),"")</x:f>
      </x:c>
    </x:row>
    <x:row r="258">
      <x:c r="B258" s="25" t="str">
        <x:f>_xlfn.IFNA(VLOOKUP(A258,InfoSecThreats!A:B,2,FALSE),"")</x:f>
      </x:c>
      <x:c r="D258" s="25" t="str">
        <x:f>_xlfn.IFNA(VLOOKUP(Vulnerabilities!C258,Assets!A:C,2,FALSE),"")</x:f>
      </x:c>
      <x:c r="E258" s="25" t="str">
        <x:f>_xlfn.IFNA(VLOOKUP(Vulnerabilities!C258,Assets!A:C,3,FALSE),"")</x:f>
      </x:c>
      <x:c r="G258" s="26" t="str">
        <x:f t="shared" si="3"/>
      </x:c>
      <x:c r="K258" s="26" t="str">
        <x:f>_xlfn.IFNA(VLOOKUP(_xlfn.CONCAT(I258,"|",J258),RiskValues!C:D,2,FALSE),"")</x:f>
      </x:c>
    </x:row>
    <x:row r="259">
      <x:c r="B259" s="25" t="str">
        <x:f>_xlfn.IFNA(VLOOKUP(A259,InfoSecThreats!A:B,2,FALSE),"")</x:f>
      </x:c>
      <x:c r="D259" s="25" t="str">
        <x:f>_xlfn.IFNA(VLOOKUP(Vulnerabilities!C259,Assets!A:C,2,FALSE),"")</x:f>
      </x:c>
      <x:c r="E259" s="25" t="str">
        <x:f>_xlfn.IFNA(VLOOKUP(Vulnerabilities!C259,Assets!A:C,3,FALSE),"")</x:f>
      </x:c>
      <x:c r="G259" s="26" t="str">
        <x:f t="shared" ref="G259:G322" si="4">IF(ISBLANK(F259),"",_xlfn.CONCAT("T",A259,"V",F259,"A",C259))</x:f>
      </x:c>
      <x:c r="K259" s="26" t="str">
        <x:f>_xlfn.IFNA(VLOOKUP(_xlfn.CONCAT(I259,"|",J259),RiskValues!C:D,2,FALSE),"")</x:f>
      </x:c>
    </x:row>
    <x:row r="260">
      <x:c r="B260" s="25" t="str">
        <x:f>_xlfn.IFNA(VLOOKUP(A260,InfoSecThreats!A:B,2,FALSE),"")</x:f>
      </x:c>
      <x:c r="D260" s="25" t="str">
        <x:f>_xlfn.IFNA(VLOOKUP(Vulnerabilities!C260,Assets!A:C,2,FALSE),"")</x:f>
      </x:c>
      <x:c r="E260" s="25" t="str">
        <x:f>_xlfn.IFNA(VLOOKUP(Vulnerabilities!C260,Assets!A:C,3,FALSE),"")</x:f>
      </x:c>
      <x:c r="G260" s="26" t="str">
        <x:f t="shared" si="4"/>
      </x:c>
      <x:c r="K260" s="26" t="str">
        <x:f>_xlfn.IFNA(VLOOKUP(_xlfn.CONCAT(I260,"|",J260),RiskValues!C:D,2,FALSE),"")</x:f>
      </x:c>
    </x:row>
    <x:row r="261">
      <x:c r="B261" s="25" t="str">
        <x:f>_xlfn.IFNA(VLOOKUP(A261,InfoSecThreats!A:B,2,FALSE),"")</x:f>
      </x:c>
      <x:c r="D261" s="25" t="str">
        <x:f>_xlfn.IFNA(VLOOKUP(Vulnerabilities!C261,Assets!A:C,2,FALSE),"")</x:f>
      </x:c>
      <x:c r="E261" s="25" t="str">
        <x:f>_xlfn.IFNA(VLOOKUP(Vulnerabilities!C261,Assets!A:C,3,FALSE),"")</x:f>
      </x:c>
      <x:c r="G261" s="26" t="str">
        <x:f t="shared" si="4"/>
      </x:c>
      <x:c r="K261" s="26" t="str">
        <x:f>_xlfn.IFNA(VLOOKUP(_xlfn.CONCAT(I261,"|",J261),RiskValues!C:D,2,FALSE),"")</x:f>
      </x:c>
    </x:row>
    <x:row r="262">
      <x:c r="B262" s="25" t="str">
        <x:f>_xlfn.IFNA(VLOOKUP(A262,InfoSecThreats!A:B,2,FALSE),"")</x:f>
      </x:c>
      <x:c r="D262" s="25" t="str">
        <x:f>_xlfn.IFNA(VLOOKUP(Vulnerabilities!C262,Assets!A:C,2,FALSE),"")</x:f>
      </x:c>
      <x:c r="E262" s="25" t="str">
        <x:f>_xlfn.IFNA(VLOOKUP(Vulnerabilities!C262,Assets!A:C,3,FALSE),"")</x:f>
      </x:c>
      <x:c r="G262" s="26" t="str">
        <x:f t="shared" si="4"/>
      </x:c>
      <x:c r="K262" s="26" t="str">
        <x:f>_xlfn.IFNA(VLOOKUP(_xlfn.CONCAT(I262,"|",J262),RiskValues!C:D,2,FALSE),"")</x:f>
      </x:c>
    </x:row>
    <x:row r="263">
      <x:c r="B263" s="25" t="str">
        <x:f>_xlfn.IFNA(VLOOKUP(A263,InfoSecThreats!A:B,2,FALSE),"")</x:f>
      </x:c>
      <x:c r="D263" s="25" t="str">
        <x:f>_xlfn.IFNA(VLOOKUP(Vulnerabilities!C263,Assets!A:C,2,FALSE),"")</x:f>
      </x:c>
      <x:c r="E263" s="25" t="str">
        <x:f>_xlfn.IFNA(VLOOKUP(Vulnerabilities!C263,Assets!A:C,3,FALSE),"")</x:f>
      </x:c>
      <x:c r="G263" s="26" t="str">
        <x:f t="shared" si="4"/>
      </x:c>
      <x:c r="K263" s="26" t="str">
        <x:f>_xlfn.IFNA(VLOOKUP(_xlfn.CONCAT(I263,"|",J263),RiskValues!C:D,2,FALSE),"")</x:f>
      </x:c>
    </x:row>
    <x:row r="264">
      <x:c r="B264" s="25" t="str">
        <x:f>_xlfn.IFNA(VLOOKUP(A264,InfoSecThreats!A:B,2,FALSE),"")</x:f>
      </x:c>
      <x:c r="D264" s="25" t="str">
        <x:f>_xlfn.IFNA(VLOOKUP(Vulnerabilities!C264,Assets!A:C,2,FALSE),"")</x:f>
      </x:c>
      <x:c r="E264" s="25" t="str">
        <x:f>_xlfn.IFNA(VLOOKUP(Vulnerabilities!C264,Assets!A:C,3,FALSE),"")</x:f>
      </x:c>
      <x:c r="G264" s="26" t="str">
        <x:f t="shared" si="4"/>
      </x:c>
      <x:c r="K264" s="26" t="str">
        <x:f>_xlfn.IFNA(VLOOKUP(_xlfn.CONCAT(I264,"|",J264),RiskValues!C:D,2,FALSE),"")</x:f>
      </x:c>
    </x:row>
    <x:row r="265">
      <x:c r="B265" s="25" t="str">
        <x:f>_xlfn.IFNA(VLOOKUP(A265,InfoSecThreats!A:B,2,FALSE),"")</x:f>
      </x:c>
      <x:c r="D265" s="25" t="str">
        <x:f>_xlfn.IFNA(VLOOKUP(Vulnerabilities!C265,Assets!A:C,2,FALSE),"")</x:f>
      </x:c>
      <x:c r="E265" s="25" t="str">
        <x:f>_xlfn.IFNA(VLOOKUP(Vulnerabilities!C265,Assets!A:C,3,FALSE),"")</x:f>
      </x:c>
      <x:c r="G265" s="26" t="str">
        <x:f t="shared" si="4"/>
      </x:c>
      <x:c r="K265" s="26" t="str">
        <x:f>_xlfn.IFNA(VLOOKUP(_xlfn.CONCAT(I265,"|",J265),RiskValues!C:D,2,FALSE),"")</x:f>
      </x:c>
    </x:row>
    <x:row r="266">
      <x:c r="B266" s="25" t="str">
        <x:f>_xlfn.IFNA(VLOOKUP(A266,InfoSecThreats!A:B,2,FALSE),"")</x:f>
      </x:c>
      <x:c r="D266" s="25" t="str">
        <x:f>_xlfn.IFNA(VLOOKUP(Vulnerabilities!C266,Assets!A:C,2,FALSE),"")</x:f>
      </x:c>
      <x:c r="E266" s="25" t="str">
        <x:f>_xlfn.IFNA(VLOOKUP(Vulnerabilities!C266,Assets!A:C,3,FALSE),"")</x:f>
      </x:c>
      <x:c r="G266" s="26" t="str">
        <x:f t="shared" si="4"/>
      </x:c>
      <x:c r="K266" s="26" t="str">
        <x:f>_xlfn.IFNA(VLOOKUP(_xlfn.CONCAT(I266,"|",J266),RiskValues!C:D,2,FALSE),"")</x:f>
      </x:c>
    </x:row>
    <x:row r="267">
      <x:c r="B267" s="25" t="str">
        <x:f>_xlfn.IFNA(VLOOKUP(A267,InfoSecThreats!A:B,2,FALSE),"")</x:f>
      </x:c>
      <x:c r="D267" s="25" t="str">
        <x:f>_xlfn.IFNA(VLOOKUP(Vulnerabilities!C267,Assets!A:C,2,FALSE),"")</x:f>
      </x:c>
      <x:c r="E267" s="25" t="str">
        <x:f>_xlfn.IFNA(VLOOKUP(Vulnerabilities!C267,Assets!A:C,3,FALSE),"")</x:f>
      </x:c>
      <x:c r="G267" s="26" t="str">
        <x:f t="shared" si="4"/>
      </x:c>
      <x:c r="K267" s="26" t="str">
        <x:f>_xlfn.IFNA(VLOOKUP(_xlfn.CONCAT(I267,"|",J267),RiskValues!C:D,2,FALSE),"")</x:f>
      </x:c>
    </x:row>
    <x:row r="268">
      <x:c r="B268" s="25" t="str">
        <x:f>_xlfn.IFNA(VLOOKUP(A268,InfoSecThreats!A:B,2,FALSE),"")</x:f>
      </x:c>
      <x:c r="D268" s="25" t="str">
        <x:f>_xlfn.IFNA(VLOOKUP(Vulnerabilities!C268,Assets!A:C,2,FALSE),"")</x:f>
      </x:c>
      <x:c r="E268" s="25" t="str">
        <x:f>_xlfn.IFNA(VLOOKUP(Vulnerabilities!C268,Assets!A:C,3,FALSE),"")</x:f>
      </x:c>
      <x:c r="G268" s="26" t="str">
        <x:f t="shared" si="4"/>
      </x:c>
      <x:c r="K268" s="26" t="str">
        <x:f>_xlfn.IFNA(VLOOKUP(_xlfn.CONCAT(I268,"|",J268),RiskValues!C:D,2,FALSE),"")</x:f>
      </x:c>
    </x:row>
    <x:row r="269">
      <x:c r="B269" s="25" t="str">
        <x:f>_xlfn.IFNA(VLOOKUP(A269,InfoSecThreats!A:B,2,FALSE),"")</x:f>
      </x:c>
      <x:c r="D269" s="25" t="str">
        <x:f>_xlfn.IFNA(VLOOKUP(Vulnerabilities!C269,Assets!A:C,2,FALSE),"")</x:f>
      </x:c>
      <x:c r="E269" s="25" t="str">
        <x:f>_xlfn.IFNA(VLOOKUP(Vulnerabilities!C269,Assets!A:C,3,FALSE),"")</x:f>
      </x:c>
      <x:c r="G269" s="26" t="str">
        <x:f t="shared" si="4"/>
      </x:c>
      <x:c r="K269" s="26" t="str">
        <x:f>_xlfn.IFNA(VLOOKUP(_xlfn.CONCAT(I269,"|",J269),RiskValues!C:D,2,FALSE),"")</x:f>
      </x:c>
    </x:row>
    <x:row r="270">
      <x:c r="B270" s="25" t="str">
        <x:f>_xlfn.IFNA(VLOOKUP(A270,InfoSecThreats!A:B,2,FALSE),"")</x:f>
      </x:c>
      <x:c r="D270" s="25" t="str">
        <x:f>_xlfn.IFNA(VLOOKUP(Vulnerabilities!C270,Assets!A:C,2,FALSE),"")</x:f>
      </x:c>
      <x:c r="E270" s="25" t="str">
        <x:f>_xlfn.IFNA(VLOOKUP(Vulnerabilities!C270,Assets!A:C,3,FALSE),"")</x:f>
      </x:c>
      <x:c r="G270" s="26" t="str">
        <x:f t="shared" si="4"/>
      </x:c>
      <x:c r="K270" s="26" t="str">
        <x:f>_xlfn.IFNA(VLOOKUP(_xlfn.CONCAT(I270,"|",J270),RiskValues!C:D,2,FALSE),"")</x:f>
      </x:c>
    </x:row>
    <x:row r="271">
      <x:c r="B271" s="25" t="str">
        <x:f>_xlfn.IFNA(VLOOKUP(A271,InfoSecThreats!A:B,2,FALSE),"")</x:f>
      </x:c>
      <x:c r="D271" s="25" t="str">
        <x:f>_xlfn.IFNA(VLOOKUP(Vulnerabilities!C271,Assets!A:C,2,FALSE),"")</x:f>
      </x:c>
      <x:c r="E271" s="25" t="str">
        <x:f>_xlfn.IFNA(VLOOKUP(Vulnerabilities!C271,Assets!A:C,3,FALSE),"")</x:f>
      </x:c>
      <x:c r="G271" s="26" t="str">
        <x:f t="shared" si="4"/>
      </x:c>
      <x:c r="K271" s="26" t="str">
        <x:f>_xlfn.IFNA(VLOOKUP(_xlfn.CONCAT(I271,"|",J271),RiskValues!C:D,2,FALSE),"")</x:f>
      </x:c>
    </x:row>
    <x:row r="272">
      <x:c r="B272" s="25" t="str">
        <x:f>_xlfn.IFNA(VLOOKUP(A272,InfoSecThreats!A:B,2,FALSE),"")</x:f>
      </x:c>
      <x:c r="D272" s="25" t="str">
        <x:f>_xlfn.IFNA(VLOOKUP(Vulnerabilities!C272,Assets!A:C,2,FALSE),"")</x:f>
      </x:c>
      <x:c r="E272" s="25" t="str">
        <x:f>_xlfn.IFNA(VLOOKUP(Vulnerabilities!C272,Assets!A:C,3,FALSE),"")</x:f>
      </x:c>
      <x:c r="G272" s="26" t="str">
        <x:f t="shared" si="4"/>
      </x:c>
      <x:c r="K272" s="26" t="str">
        <x:f>_xlfn.IFNA(VLOOKUP(_xlfn.CONCAT(I272,"|",J272),RiskValues!C:D,2,FALSE),"")</x:f>
      </x:c>
    </x:row>
    <x:row r="273">
      <x:c r="B273" s="25" t="str">
        <x:f>_xlfn.IFNA(VLOOKUP(A273,InfoSecThreats!A:B,2,FALSE),"")</x:f>
      </x:c>
      <x:c r="D273" s="25" t="str">
        <x:f>_xlfn.IFNA(VLOOKUP(Vulnerabilities!C273,Assets!A:C,2,FALSE),"")</x:f>
      </x:c>
      <x:c r="E273" s="25" t="str">
        <x:f>_xlfn.IFNA(VLOOKUP(Vulnerabilities!C273,Assets!A:C,3,FALSE),"")</x:f>
      </x:c>
      <x:c r="G273" s="26" t="str">
        <x:f t="shared" si="4"/>
      </x:c>
      <x:c r="K273" s="26" t="str">
        <x:f>_xlfn.IFNA(VLOOKUP(_xlfn.CONCAT(I273,"|",J273),RiskValues!C:D,2,FALSE),"")</x:f>
      </x:c>
    </x:row>
    <x:row r="274">
      <x:c r="B274" s="25" t="str">
        <x:f>_xlfn.IFNA(VLOOKUP(A274,InfoSecThreats!A:B,2,FALSE),"")</x:f>
      </x:c>
      <x:c r="D274" s="25" t="str">
        <x:f>_xlfn.IFNA(VLOOKUP(Vulnerabilities!C274,Assets!A:C,2,FALSE),"")</x:f>
      </x:c>
      <x:c r="E274" s="25" t="str">
        <x:f>_xlfn.IFNA(VLOOKUP(Vulnerabilities!C274,Assets!A:C,3,FALSE),"")</x:f>
      </x:c>
      <x:c r="G274" s="26" t="str">
        <x:f t="shared" si="4"/>
      </x:c>
      <x:c r="K274" s="26" t="str">
        <x:f>_xlfn.IFNA(VLOOKUP(_xlfn.CONCAT(I274,"|",J274),RiskValues!C:D,2,FALSE),"")</x:f>
      </x:c>
    </x:row>
    <x:row r="275">
      <x:c r="B275" s="25" t="str">
        <x:f>_xlfn.IFNA(VLOOKUP(A275,InfoSecThreats!A:B,2,FALSE),"")</x:f>
      </x:c>
      <x:c r="D275" s="25" t="str">
        <x:f>_xlfn.IFNA(VLOOKUP(Vulnerabilities!C275,Assets!A:C,2,FALSE),"")</x:f>
      </x:c>
      <x:c r="E275" s="25" t="str">
        <x:f>_xlfn.IFNA(VLOOKUP(Vulnerabilities!C275,Assets!A:C,3,FALSE),"")</x:f>
      </x:c>
      <x:c r="G275" s="26" t="str">
        <x:f t="shared" si="4"/>
      </x:c>
      <x:c r="K275" s="26" t="str">
        <x:f>_xlfn.IFNA(VLOOKUP(_xlfn.CONCAT(I275,"|",J275),RiskValues!C:D,2,FALSE),"")</x:f>
      </x:c>
    </x:row>
    <x:row r="276">
      <x:c r="B276" s="25" t="str">
        <x:f>_xlfn.IFNA(VLOOKUP(A276,InfoSecThreats!A:B,2,FALSE),"")</x:f>
      </x:c>
      <x:c r="D276" s="25" t="str">
        <x:f>_xlfn.IFNA(VLOOKUP(Vulnerabilities!C276,Assets!A:C,2,FALSE),"")</x:f>
      </x:c>
      <x:c r="E276" s="25" t="str">
        <x:f>_xlfn.IFNA(VLOOKUP(Vulnerabilities!C276,Assets!A:C,3,FALSE),"")</x:f>
      </x:c>
      <x:c r="G276" s="26" t="str">
        <x:f t="shared" si="4"/>
      </x:c>
      <x:c r="K276" s="26" t="str">
        <x:f>_xlfn.IFNA(VLOOKUP(_xlfn.CONCAT(I276,"|",J276),RiskValues!C:D,2,FALSE),"")</x:f>
      </x:c>
    </x:row>
    <x:row r="277">
      <x:c r="B277" s="25" t="str">
        <x:f>_xlfn.IFNA(VLOOKUP(A277,InfoSecThreats!A:B,2,FALSE),"")</x:f>
      </x:c>
      <x:c r="D277" s="25" t="str">
        <x:f>_xlfn.IFNA(VLOOKUP(Vulnerabilities!C277,Assets!A:C,2,FALSE),"")</x:f>
      </x:c>
      <x:c r="E277" s="25" t="str">
        <x:f>_xlfn.IFNA(VLOOKUP(Vulnerabilities!C277,Assets!A:C,3,FALSE),"")</x:f>
      </x:c>
      <x:c r="G277" s="26" t="str">
        <x:f t="shared" si="4"/>
      </x:c>
      <x:c r="K277" s="26" t="str">
        <x:f>_xlfn.IFNA(VLOOKUP(_xlfn.CONCAT(I277,"|",J277),RiskValues!C:D,2,FALSE),"")</x:f>
      </x:c>
    </x:row>
    <x:row r="278">
      <x:c r="B278" s="25" t="str">
        <x:f>_xlfn.IFNA(VLOOKUP(A278,InfoSecThreats!A:B,2,FALSE),"")</x:f>
      </x:c>
      <x:c r="D278" s="25" t="str">
        <x:f>_xlfn.IFNA(VLOOKUP(Vulnerabilities!C278,Assets!A:C,2,FALSE),"")</x:f>
      </x:c>
      <x:c r="E278" s="25" t="str">
        <x:f>_xlfn.IFNA(VLOOKUP(Vulnerabilities!C278,Assets!A:C,3,FALSE),"")</x:f>
      </x:c>
      <x:c r="G278" s="26" t="str">
        <x:f t="shared" si="4"/>
      </x:c>
      <x:c r="K278" s="26" t="str">
        <x:f>_xlfn.IFNA(VLOOKUP(_xlfn.CONCAT(I278,"|",J278),RiskValues!C:D,2,FALSE),"")</x:f>
      </x:c>
    </x:row>
    <x:row r="279">
      <x:c r="B279" s="25" t="str">
        <x:f>_xlfn.IFNA(VLOOKUP(A279,InfoSecThreats!A:B,2,FALSE),"")</x:f>
      </x:c>
      <x:c r="D279" s="25" t="str">
        <x:f>_xlfn.IFNA(VLOOKUP(Vulnerabilities!C279,Assets!A:C,2,FALSE),"")</x:f>
      </x:c>
      <x:c r="E279" s="25" t="str">
        <x:f>_xlfn.IFNA(VLOOKUP(Vulnerabilities!C279,Assets!A:C,3,FALSE),"")</x:f>
      </x:c>
      <x:c r="G279" s="26" t="str">
        <x:f t="shared" si="4"/>
      </x:c>
      <x:c r="K279" s="26" t="str">
        <x:f>_xlfn.IFNA(VLOOKUP(_xlfn.CONCAT(I279,"|",J279),RiskValues!C:D,2,FALSE),"")</x:f>
      </x:c>
    </x:row>
    <x:row r="280">
      <x:c r="B280" s="25" t="str">
        <x:f>_xlfn.IFNA(VLOOKUP(A280,InfoSecThreats!A:B,2,FALSE),"")</x:f>
      </x:c>
      <x:c r="D280" s="25" t="str">
        <x:f>_xlfn.IFNA(VLOOKUP(Vulnerabilities!C280,Assets!A:C,2,FALSE),"")</x:f>
      </x:c>
      <x:c r="E280" s="25" t="str">
        <x:f>_xlfn.IFNA(VLOOKUP(Vulnerabilities!C280,Assets!A:C,3,FALSE),"")</x:f>
      </x:c>
      <x:c r="G280" s="26" t="str">
        <x:f t="shared" si="4"/>
      </x:c>
      <x:c r="K280" s="26" t="str">
        <x:f>_xlfn.IFNA(VLOOKUP(_xlfn.CONCAT(I280,"|",J280),RiskValues!C:D,2,FALSE),"")</x:f>
      </x:c>
    </x:row>
    <x:row r="281">
      <x:c r="B281" s="25" t="str">
        <x:f>_xlfn.IFNA(VLOOKUP(A281,InfoSecThreats!A:B,2,FALSE),"")</x:f>
      </x:c>
      <x:c r="D281" s="25" t="str">
        <x:f>_xlfn.IFNA(VLOOKUP(Vulnerabilities!C281,Assets!A:C,2,FALSE),"")</x:f>
      </x:c>
      <x:c r="E281" s="25" t="str">
        <x:f>_xlfn.IFNA(VLOOKUP(Vulnerabilities!C281,Assets!A:C,3,FALSE),"")</x:f>
      </x:c>
      <x:c r="G281" s="26" t="str">
        <x:f t="shared" si="4"/>
      </x:c>
      <x:c r="K281" s="26" t="str">
        <x:f>_xlfn.IFNA(VLOOKUP(_xlfn.CONCAT(I281,"|",J281),RiskValues!C:D,2,FALSE),"")</x:f>
      </x:c>
    </x:row>
    <x:row r="282">
      <x:c r="B282" s="25" t="str">
        <x:f>_xlfn.IFNA(VLOOKUP(A282,InfoSecThreats!A:B,2,FALSE),"")</x:f>
      </x:c>
      <x:c r="D282" s="25" t="str">
        <x:f>_xlfn.IFNA(VLOOKUP(Vulnerabilities!C282,Assets!A:C,2,FALSE),"")</x:f>
      </x:c>
      <x:c r="E282" s="25" t="str">
        <x:f>_xlfn.IFNA(VLOOKUP(Vulnerabilities!C282,Assets!A:C,3,FALSE),"")</x:f>
      </x:c>
      <x:c r="G282" s="26" t="str">
        <x:f t="shared" si="4"/>
      </x:c>
      <x:c r="K282" s="26" t="str">
        <x:f>_xlfn.IFNA(VLOOKUP(_xlfn.CONCAT(I282,"|",J282),RiskValues!C:D,2,FALSE),"")</x:f>
      </x:c>
    </x:row>
    <x:row r="283">
      <x:c r="B283" s="25" t="str">
        <x:f>_xlfn.IFNA(VLOOKUP(A283,InfoSecThreats!A:B,2,FALSE),"")</x:f>
      </x:c>
      <x:c r="D283" s="25" t="str">
        <x:f>_xlfn.IFNA(VLOOKUP(Vulnerabilities!C283,Assets!A:C,2,FALSE),"")</x:f>
      </x:c>
      <x:c r="E283" s="25" t="str">
        <x:f>_xlfn.IFNA(VLOOKUP(Vulnerabilities!C283,Assets!A:C,3,FALSE),"")</x:f>
      </x:c>
      <x:c r="G283" s="26" t="str">
        <x:f t="shared" si="4"/>
      </x:c>
      <x:c r="K283" s="26" t="str">
        <x:f>_xlfn.IFNA(VLOOKUP(_xlfn.CONCAT(I283,"|",J283),RiskValues!C:D,2,FALSE),"")</x:f>
      </x:c>
    </x:row>
    <x:row r="284">
      <x:c r="B284" s="25" t="str">
        <x:f>_xlfn.IFNA(VLOOKUP(A284,InfoSecThreats!A:B,2,FALSE),"")</x:f>
      </x:c>
      <x:c r="D284" s="25" t="str">
        <x:f>_xlfn.IFNA(VLOOKUP(Vulnerabilities!C284,Assets!A:C,2,FALSE),"")</x:f>
      </x:c>
      <x:c r="E284" s="25" t="str">
        <x:f>_xlfn.IFNA(VLOOKUP(Vulnerabilities!C284,Assets!A:C,3,FALSE),"")</x:f>
      </x:c>
      <x:c r="G284" s="26" t="str">
        <x:f t="shared" si="4"/>
      </x:c>
      <x:c r="K284" s="26" t="str">
        <x:f>_xlfn.IFNA(VLOOKUP(_xlfn.CONCAT(I284,"|",J284),RiskValues!C:D,2,FALSE),"")</x:f>
      </x:c>
    </x:row>
    <x:row r="285">
      <x:c r="B285" s="25" t="str">
        <x:f>_xlfn.IFNA(VLOOKUP(A285,InfoSecThreats!A:B,2,FALSE),"")</x:f>
      </x:c>
      <x:c r="D285" s="25" t="str">
        <x:f>_xlfn.IFNA(VLOOKUP(Vulnerabilities!C285,Assets!A:C,2,FALSE),"")</x:f>
      </x:c>
      <x:c r="E285" s="25" t="str">
        <x:f>_xlfn.IFNA(VLOOKUP(Vulnerabilities!C285,Assets!A:C,3,FALSE),"")</x:f>
      </x:c>
      <x:c r="G285" s="26" t="str">
        <x:f t="shared" si="4"/>
      </x:c>
      <x:c r="K285" s="26" t="str">
        <x:f>_xlfn.IFNA(VLOOKUP(_xlfn.CONCAT(I285,"|",J285),RiskValues!C:D,2,FALSE),"")</x:f>
      </x:c>
    </x:row>
    <x:row r="286">
      <x:c r="B286" s="25" t="str">
        <x:f>_xlfn.IFNA(VLOOKUP(A286,InfoSecThreats!A:B,2,FALSE),"")</x:f>
      </x:c>
      <x:c r="D286" s="25" t="str">
        <x:f>_xlfn.IFNA(VLOOKUP(Vulnerabilities!C286,Assets!A:C,2,FALSE),"")</x:f>
      </x:c>
      <x:c r="E286" s="25" t="str">
        <x:f>_xlfn.IFNA(VLOOKUP(Vulnerabilities!C286,Assets!A:C,3,FALSE),"")</x:f>
      </x:c>
      <x:c r="G286" s="26" t="str">
        <x:f t="shared" si="4"/>
      </x:c>
      <x:c r="K286" s="26" t="str">
        <x:f>_xlfn.IFNA(VLOOKUP(_xlfn.CONCAT(I286,"|",J286),RiskValues!C:D,2,FALSE),"")</x:f>
      </x:c>
    </x:row>
    <x:row r="287">
      <x:c r="B287" s="25" t="str">
        <x:f>_xlfn.IFNA(VLOOKUP(A287,InfoSecThreats!A:B,2,FALSE),"")</x:f>
      </x:c>
      <x:c r="D287" s="25" t="str">
        <x:f>_xlfn.IFNA(VLOOKUP(Vulnerabilities!C287,Assets!A:C,2,FALSE),"")</x:f>
      </x:c>
      <x:c r="E287" s="25" t="str">
        <x:f>_xlfn.IFNA(VLOOKUP(Vulnerabilities!C287,Assets!A:C,3,FALSE),"")</x:f>
      </x:c>
      <x:c r="G287" s="26" t="str">
        <x:f t="shared" si="4"/>
      </x:c>
      <x:c r="K287" s="26" t="str">
        <x:f>_xlfn.IFNA(VLOOKUP(_xlfn.CONCAT(I287,"|",J287),RiskValues!C:D,2,FALSE),"")</x:f>
      </x:c>
    </x:row>
    <x:row r="288">
      <x:c r="B288" s="25" t="str">
        <x:f>_xlfn.IFNA(VLOOKUP(A288,InfoSecThreats!A:B,2,FALSE),"")</x:f>
      </x:c>
      <x:c r="D288" s="25" t="str">
        <x:f>_xlfn.IFNA(VLOOKUP(Vulnerabilities!C288,Assets!A:C,2,FALSE),"")</x:f>
      </x:c>
      <x:c r="E288" s="25" t="str">
        <x:f>_xlfn.IFNA(VLOOKUP(Vulnerabilities!C288,Assets!A:C,3,FALSE),"")</x:f>
      </x:c>
      <x:c r="G288" s="26" t="str">
        <x:f t="shared" si="4"/>
      </x:c>
      <x:c r="K288" s="26" t="str">
        <x:f>_xlfn.IFNA(VLOOKUP(_xlfn.CONCAT(I288,"|",J288),RiskValues!C:D,2,FALSE),"")</x:f>
      </x:c>
    </x:row>
    <x:row r="289">
      <x:c r="B289" s="25" t="str">
        <x:f>_xlfn.IFNA(VLOOKUP(A289,InfoSecThreats!A:B,2,FALSE),"")</x:f>
      </x:c>
      <x:c r="D289" s="25" t="str">
        <x:f>_xlfn.IFNA(VLOOKUP(Vulnerabilities!C289,Assets!A:C,2,FALSE),"")</x:f>
      </x:c>
      <x:c r="E289" s="25" t="str">
        <x:f>_xlfn.IFNA(VLOOKUP(Vulnerabilities!C289,Assets!A:C,3,FALSE),"")</x:f>
      </x:c>
      <x:c r="G289" s="26" t="str">
        <x:f t="shared" si="4"/>
      </x:c>
      <x:c r="K289" s="26" t="str">
        <x:f>_xlfn.IFNA(VLOOKUP(_xlfn.CONCAT(I289,"|",J289),RiskValues!C:D,2,FALSE),"")</x:f>
      </x:c>
    </x:row>
    <x:row r="290">
      <x:c r="B290" s="25" t="str">
        <x:f>_xlfn.IFNA(VLOOKUP(A290,InfoSecThreats!A:B,2,FALSE),"")</x:f>
      </x:c>
      <x:c r="D290" s="25" t="str">
        <x:f>_xlfn.IFNA(VLOOKUP(Vulnerabilities!C290,Assets!A:C,2,FALSE),"")</x:f>
      </x:c>
      <x:c r="E290" s="25" t="str">
        <x:f>_xlfn.IFNA(VLOOKUP(Vulnerabilities!C290,Assets!A:C,3,FALSE),"")</x:f>
      </x:c>
      <x:c r="G290" s="26" t="str">
        <x:f t="shared" si="4"/>
      </x:c>
      <x:c r="K290" s="26" t="str">
        <x:f>_xlfn.IFNA(VLOOKUP(_xlfn.CONCAT(I290,"|",J290),RiskValues!C:D,2,FALSE),"")</x:f>
      </x:c>
    </x:row>
    <x:row r="291">
      <x:c r="B291" s="25" t="str">
        <x:f>_xlfn.IFNA(VLOOKUP(A291,InfoSecThreats!A:B,2,FALSE),"")</x:f>
      </x:c>
      <x:c r="D291" s="25" t="str">
        <x:f>_xlfn.IFNA(VLOOKUP(Vulnerabilities!C291,Assets!A:C,2,FALSE),"")</x:f>
      </x:c>
      <x:c r="E291" s="25" t="str">
        <x:f>_xlfn.IFNA(VLOOKUP(Vulnerabilities!C291,Assets!A:C,3,FALSE),"")</x:f>
      </x:c>
      <x:c r="G291" s="26" t="str">
        <x:f t="shared" si="4"/>
      </x:c>
      <x:c r="K291" s="26" t="str">
        <x:f>_xlfn.IFNA(VLOOKUP(_xlfn.CONCAT(I291,"|",J291),RiskValues!C:D,2,FALSE),"")</x:f>
      </x:c>
    </x:row>
    <x:row r="292">
      <x:c r="B292" s="25" t="str">
        <x:f>_xlfn.IFNA(VLOOKUP(A292,InfoSecThreats!A:B,2,FALSE),"")</x:f>
      </x:c>
      <x:c r="D292" s="25" t="str">
        <x:f>_xlfn.IFNA(VLOOKUP(Vulnerabilities!C292,Assets!A:C,2,FALSE),"")</x:f>
      </x:c>
      <x:c r="E292" s="25" t="str">
        <x:f>_xlfn.IFNA(VLOOKUP(Vulnerabilities!C292,Assets!A:C,3,FALSE),"")</x:f>
      </x:c>
      <x:c r="G292" s="26" t="str">
        <x:f t="shared" si="4"/>
      </x:c>
      <x:c r="K292" s="26" t="str">
        <x:f>_xlfn.IFNA(VLOOKUP(_xlfn.CONCAT(I292,"|",J292),RiskValues!C:D,2,FALSE),"")</x:f>
      </x:c>
    </x:row>
    <x:row r="293">
      <x:c r="B293" s="25" t="str">
        <x:f>_xlfn.IFNA(VLOOKUP(A293,InfoSecThreats!A:B,2,FALSE),"")</x:f>
      </x:c>
      <x:c r="D293" s="25" t="str">
        <x:f>_xlfn.IFNA(VLOOKUP(Vulnerabilities!C293,Assets!A:C,2,FALSE),"")</x:f>
      </x:c>
      <x:c r="E293" s="25" t="str">
        <x:f>_xlfn.IFNA(VLOOKUP(Vulnerabilities!C293,Assets!A:C,3,FALSE),"")</x:f>
      </x:c>
      <x:c r="G293" s="26" t="str">
        <x:f t="shared" si="4"/>
      </x:c>
      <x:c r="K293" s="26" t="str">
        <x:f>_xlfn.IFNA(VLOOKUP(_xlfn.CONCAT(I293,"|",J293),RiskValues!C:D,2,FALSE),"")</x:f>
      </x:c>
    </x:row>
    <x:row r="294">
      <x:c r="B294" s="25" t="str">
        <x:f>_xlfn.IFNA(VLOOKUP(A294,InfoSecThreats!A:B,2,FALSE),"")</x:f>
      </x:c>
      <x:c r="D294" s="25" t="str">
        <x:f>_xlfn.IFNA(VLOOKUP(Vulnerabilities!C294,Assets!A:C,2,FALSE),"")</x:f>
      </x:c>
      <x:c r="E294" s="25" t="str">
        <x:f>_xlfn.IFNA(VLOOKUP(Vulnerabilities!C294,Assets!A:C,3,FALSE),"")</x:f>
      </x:c>
      <x:c r="G294" s="26" t="str">
        <x:f t="shared" si="4"/>
      </x:c>
      <x:c r="K294" s="26" t="str">
        <x:f>_xlfn.IFNA(VLOOKUP(_xlfn.CONCAT(I294,"|",J294),RiskValues!C:D,2,FALSE),"")</x:f>
      </x:c>
    </x:row>
    <x:row r="295">
      <x:c r="B295" s="25" t="str">
        <x:f>_xlfn.IFNA(VLOOKUP(A295,InfoSecThreats!A:B,2,FALSE),"")</x:f>
      </x:c>
      <x:c r="D295" s="25" t="str">
        <x:f>_xlfn.IFNA(VLOOKUP(Vulnerabilities!C295,Assets!A:C,2,FALSE),"")</x:f>
      </x:c>
      <x:c r="E295" s="25" t="str">
        <x:f>_xlfn.IFNA(VLOOKUP(Vulnerabilities!C295,Assets!A:C,3,FALSE),"")</x:f>
      </x:c>
      <x:c r="G295" s="26" t="str">
        <x:f t="shared" si="4"/>
      </x:c>
      <x:c r="K295" s="26" t="str">
        <x:f>_xlfn.IFNA(VLOOKUP(_xlfn.CONCAT(I295,"|",J295),RiskValues!C:D,2,FALSE),"")</x:f>
      </x:c>
    </x:row>
    <x:row r="296">
      <x:c r="B296" s="25" t="str">
        <x:f>_xlfn.IFNA(VLOOKUP(A296,InfoSecThreats!A:B,2,FALSE),"")</x:f>
      </x:c>
      <x:c r="D296" s="25" t="str">
        <x:f>_xlfn.IFNA(VLOOKUP(Vulnerabilities!C296,Assets!A:C,2,FALSE),"")</x:f>
      </x:c>
      <x:c r="E296" s="25" t="str">
        <x:f>_xlfn.IFNA(VLOOKUP(Vulnerabilities!C296,Assets!A:C,3,FALSE),"")</x:f>
      </x:c>
      <x:c r="G296" s="26" t="str">
        <x:f t="shared" si="4"/>
      </x:c>
      <x:c r="K296" s="26" t="str">
        <x:f>_xlfn.IFNA(VLOOKUP(_xlfn.CONCAT(I296,"|",J296),RiskValues!C:D,2,FALSE),"")</x:f>
      </x:c>
    </x:row>
    <x:row r="297">
      <x:c r="B297" s="25" t="str">
        <x:f>_xlfn.IFNA(VLOOKUP(A297,InfoSecThreats!A:B,2,FALSE),"")</x:f>
      </x:c>
      <x:c r="D297" s="25" t="str">
        <x:f>_xlfn.IFNA(VLOOKUP(Vulnerabilities!C297,Assets!A:C,2,FALSE),"")</x:f>
      </x:c>
      <x:c r="E297" s="25" t="str">
        <x:f>_xlfn.IFNA(VLOOKUP(Vulnerabilities!C297,Assets!A:C,3,FALSE),"")</x:f>
      </x:c>
      <x:c r="G297" s="26" t="str">
        <x:f t="shared" si="4"/>
      </x:c>
      <x:c r="K297" s="26" t="str">
        <x:f>_xlfn.IFNA(VLOOKUP(_xlfn.CONCAT(I297,"|",J297),RiskValues!C:D,2,FALSE),"")</x:f>
      </x:c>
    </x:row>
    <x:row r="298">
      <x:c r="B298" s="25" t="str">
        <x:f>_xlfn.IFNA(VLOOKUP(A298,InfoSecThreats!A:B,2,FALSE),"")</x:f>
      </x:c>
      <x:c r="D298" s="25" t="str">
        <x:f>_xlfn.IFNA(VLOOKUP(Vulnerabilities!C298,Assets!A:C,2,FALSE),"")</x:f>
      </x:c>
      <x:c r="E298" s="25" t="str">
        <x:f>_xlfn.IFNA(VLOOKUP(Vulnerabilities!C298,Assets!A:C,3,FALSE),"")</x:f>
      </x:c>
      <x:c r="G298" s="26" t="str">
        <x:f t="shared" si="4"/>
      </x:c>
      <x:c r="K298" s="26" t="str">
        <x:f>_xlfn.IFNA(VLOOKUP(_xlfn.CONCAT(I298,"|",J298),RiskValues!C:D,2,FALSE),"")</x:f>
      </x:c>
    </x:row>
    <x:row r="299">
      <x:c r="B299" s="25" t="str">
        <x:f>_xlfn.IFNA(VLOOKUP(A299,InfoSecThreats!A:B,2,FALSE),"")</x:f>
      </x:c>
      <x:c r="D299" s="25" t="str">
        <x:f>_xlfn.IFNA(VLOOKUP(Vulnerabilities!C299,Assets!A:C,2,FALSE),"")</x:f>
      </x:c>
      <x:c r="E299" s="25" t="str">
        <x:f>_xlfn.IFNA(VLOOKUP(Vulnerabilities!C299,Assets!A:C,3,FALSE),"")</x:f>
      </x:c>
      <x:c r="G299" s="26" t="str">
        <x:f t="shared" si="4"/>
      </x:c>
      <x:c r="K299" s="26" t="str">
        <x:f>_xlfn.IFNA(VLOOKUP(_xlfn.CONCAT(I299,"|",J299),RiskValues!C:D,2,FALSE),"")</x:f>
      </x:c>
    </x:row>
    <x:row r="300">
      <x:c r="B300" s="25" t="str">
        <x:f>_xlfn.IFNA(VLOOKUP(A300,InfoSecThreats!A:B,2,FALSE),"")</x:f>
      </x:c>
      <x:c r="D300" s="25" t="str">
        <x:f>_xlfn.IFNA(VLOOKUP(Vulnerabilities!C300,Assets!A:C,2,FALSE),"")</x:f>
      </x:c>
      <x:c r="E300" s="25" t="str">
        <x:f>_xlfn.IFNA(VLOOKUP(Vulnerabilities!C300,Assets!A:C,3,FALSE),"")</x:f>
      </x:c>
      <x:c r="G300" s="26" t="str">
        <x:f t="shared" si="4"/>
      </x:c>
      <x:c r="K300" s="26" t="str">
        <x:f>_xlfn.IFNA(VLOOKUP(_xlfn.CONCAT(I300,"|",J300),RiskValues!C:D,2,FALSE),"")</x:f>
      </x:c>
    </x:row>
    <x:row r="301">
      <x:c r="B301" s="25" t="str">
        <x:f>_xlfn.IFNA(VLOOKUP(A301,InfoSecThreats!A:B,2,FALSE),"")</x:f>
      </x:c>
      <x:c r="D301" s="25" t="str">
        <x:f>_xlfn.IFNA(VLOOKUP(Vulnerabilities!C301,Assets!A:C,2,FALSE),"")</x:f>
      </x:c>
      <x:c r="E301" s="25" t="str">
        <x:f>_xlfn.IFNA(VLOOKUP(Vulnerabilities!C301,Assets!A:C,3,FALSE),"")</x:f>
      </x:c>
      <x:c r="G301" s="26" t="str">
        <x:f t="shared" si="4"/>
      </x:c>
      <x:c r="K301" s="26" t="str">
        <x:f>_xlfn.IFNA(VLOOKUP(_xlfn.CONCAT(I301,"|",J301),RiskValues!C:D,2,FALSE),"")</x:f>
      </x:c>
    </x:row>
    <x:row r="302">
      <x:c r="B302" s="25" t="str">
        <x:f>_xlfn.IFNA(VLOOKUP(A302,InfoSecThreats!A:B,2,FALSE),"")</x:f>
      </x:c>
      <x:c r="D302" s="25" t="str">
        <x:f>_xlfn.IFNA(VLOOKUP(Vulnerabilities!C302,Assets!A:C,2,FALSE),"")</x:f>
      </x:c>
      <x:c r="E302" s="25" t="str">
        <x:f>_xlfn.IFNA(VLOOKUP(Vulnerabilities!C302,Assets!A:C,3,FALSE),"")</x:f>
      </x:c>
      <x:c r="G302" s="26" t="str">
        <x:f t="shared" si="4"/>
      </x:c>
      <x:c r="K302" s="26" t="str">
        <x:f>_xlfn.IFNA(VLOOKUP(_xlfn.CONCAT(I302,"|",J302),RiskValues!C:D,2,FALSE),"")</x:f>
      </x:c>
    </x:row>
    <x:row r="303">
      <x:c r="B303" s="25" t="str">
        <x:f>_xlfn.IFNA(VLOOKUP(A303,InfoSecThreats!A:B,2,FALSE),"")</x:f>
      </x:c>
      <x:c r="D303" s="25" t="str">
        <x:f>_xlfn.IFNA(VLOOKUP(Vulnerabilities!C303,Assets!A:C,2,FALSE),"")</x:f>
      </x:c>
      <x:c r="E303" s="25" t="str">
        <x:f>_xlfn.IFNA(VLOOKUP(Vulnerabilities!C303,Assets!A:C,3,FALSE),"")</x:f>
      </x:c>
      <x:c r="G303" s="26" t="str">
        <x:f t="shared" si="4"/>
      </x:c>
      <x:c r="K303" s="26" t="str">
        <x:f>_xlfn.IFNA(VLOOKUP(_xlfn.CONCAT(I303,"|",J303),RiskValues!C:D,2,FALSE),"")</x:f>
      </x:c>
    </x:row>
    <x:row r="304">
      <x:c r="B304" s="25" t="str">
        <x:f>_xlfn.IFNA(VLOOKUP(A304,InfoSecThreats!A:B,2,FALSE),"")</x:f>
      </x:c>
      <x:c r="D304" s="25" t="str">
        <x:f>_xlfn.IFNA(VLOOKUP(Vulnerabilities!C304,Assets!A:C,2,FALSE),"")</x:f>
      </x:c>
      <x:c r="E304" s="25" t="str">
        <x:f>_xlfn.IFNA(VLOOKUP(Vulnerabilities!C304,Assets!A:C,3,FALSE),"")</x:f>
      </x:c>
      <x:c r="G304" s="26" t="str">
        <x:f t="shared" si="4"/>
      </x:c>
      <x:c r="K304" s="26" t="str">
        <x:f>_xlfn.IFNA(VLOOKUP(_xlfn.CONCAT(I304,"|",J304),RiskValues!C:D,2,FALSE),"")</x:f>
      </x:c>
    </x:row>
    <x:row r="305">
      <x:c r="B305" s="25" t="str">
        <x:f>_xlfn.IFNA(VLOOKUP(A305,InfoSecThreats!A:B,2,FALSE),"")</x:f>
      </x:c>
      <x:c r="D305" s="25" t="str">
        <x:f>_xlfn.IFNA(VLOOKUP(Vulnerabilities!C305,Assets!A:C,2,FALSE),"")</x:f>
      </x:c>
      <x:c r="E305" s="25" t="str">
        <x:f>_xlfn.IFNA(VLOOKUP(Vulnerabilities!C305,Assets!A:C,3,FALSE),"")</x:f>
      </x:c>
      <x:c r="G305" s="26" t="str">
        <x:f t="shared" si="4"/>
      </x:c>
      <x:c r="K305" s="26" t="str">
        <x:f>_xlfn.IFNA(VLOOKUP(_xlfn.CONCAT(I305,"|",J305),RiskValues!C:D,2,FALSE),"")</x:f>
      </x:c>
    </x:row>
    <x:row r="306">
      <x:c r="B306" s="25" t="str">
        <x:f>_xlfn.IFNA(VLOOKUP(A306,InfoSecThreats!A:B,2,FALSE),"")</x:f>
      </x:c>
      <x:c r="D306" s="25" t="str">
        <x:f>_xlfn.IFNA(VLOOKUP(Vulnerabilities!C306,Assets!A:C,2,FALSE),"")</x:f>
      </x:c>
      <x:c r="E306" s="25" t="str">
        <x:f>_xlfn.IFNA(VLOOKUP(Vulnerabilities!C306,Assets!A:C,3,FALSE),"")</x:f>
      </x:c>
      <x:c r="G306" s="26" t="str">
        <x:f t="shared" si="4"/>
      </x:c>
      <x:c r="K306" s="26" t="str">
        <x:f>_xlfn.IFNA(VLOOKUP(_xlfn.CONCAT(I306,"|",J306),RiskValues!C:D,2,FALSE),"")</x:f>
      </x:c>
    </x:row>
    <x:row r="307">
      <x:c r="B307" s="25" t="str">
        <x:f>_xlfn.IFNA(VLOOKUP(A307,InfoSecThreats!A:B,2,FALSE),"")</x:f>
      </x:c>
      <x:c r="D307" s="25" t="str">
        <x:f>_xlfn.IFNA(VLOOKUP(Vulnerabilities!C307,Assets!A:C,2,FALSE),"")</x:f>
      </x:c>
      <x:c r="E307" s="25" t="str">
        <x:f>_xlfn.IFNA(VLOOKUP(Vulnerabilities!C307,Assets!A:C,3,FALSE),"")</x:f>
      </x:c>
      <x:c r="G307" s="26" t="str">
        <x:f t="shared" si="4"/>
      </x:c>
      <x:c r="K307" s="26" t="str">
        <x:f>_xlfn.IFNA(VLOOKUP(_xlfn.CONCAT(I307,"|",J307),RiskValues!C:D,2,FALSE),"")</x:f>
      </x:c>
    </x:row>
    <x:row r="308">
      <x:c r="B308" s="25" t="str">
        <x:f>_xlfn.IFNA(VLOOKUP(A308,InfoSecThreats!A:B,2,FALSE),"")</x:f>
      </x:c>
      <x:c r="D308" s="25" t="str">
        <x:f>_xlfn.IFNA(VLOOKUP(Vulnerabilities!C308,Assets!A:C,2,FALSE),"")</x:f>
      </x:c>
      <x:c r="E308" s="25" t="str">
        <x:f>_xlfn.IFNA(VLOOKUP(Vulnerabilities!C308,Assets!A:C,3,FALSE),"")</x:f>
      </x:c>
      <x:c r="G308" s="26" t="str">
        <x:f t="shared" si="4"/>
      </x:c>
      <x:c r="K308" s="26" t="str">
        <x:f>_xlfn.IFNA(VLOOKUP(_xlfn.CONCAT(I308,"|",J308),RiskValues!C:D,2,FALSE),"")</x:f>
      </x:c>
    </x:row>
    <x:row r="309">
      <x:c r="B309" s="25" t="str">
        <x:f>_xlfn.IFNA(VLOOKUP(A309,InfoSecThreats!A:B,2,FALSE),"")</x:f>
      </x:c>
      <x:c r="D309" s="25" t="str">
        <x:f>_xlfn.IFNA(VLOOKUP(Vulnerabilities!C309,Assets!A:C,2,FALSE),"")</x:f>
      </x:c>
      <x:c r="E309" s="25" t="str">
        <x:f>_xlfn.IFNA(VLOOKUP(Vulnerabilities!C309,Assets!A:C,3,FALSE),"")</x:f>
      </x:c>
      <x:c r="G309" s="26" t="str">
        <x:f t="shared" si="4"/>
      </x:c>
      <x:c r="K309" s="26" t="str">
        <x:f>_xlfn.IFNA(VLOOKUP(_xlfn.CONCAT(I309,"|",J309),RiskValues!C:D,2,FALSE),"")</x:f>
      </x:c>
    </x:row>
    <x:row r="310">
      <x:c r="B310" s="25" t="str">
        <x:f>_xlfn.IFNA(VLOOKUP(A310,InfoSecThreats!A:B,2,FALSE),"")</x:f>
      </x:c>
      <x:c r="D310" s="25" t="str">
        <x:f>_xlfn.IFNA(VLOOKUP(Vulnerabilities!C310,Assets!A:C,2,FALSE),"")</x:f>
      </x:c>
      <x:c r="E310" s="25" t="str">
        <x:f>_xlfn.IFNA(VLOOKUP(Vulnerabilities!C310,Assets!A:C,3,FALSE),"")</x:f>
      </x:c>
      <x:c r="G310" s="26" t="str">
        <x:f t="shared" si="4"/>
      </x:c>
      <x:c r="K310" s="26" t="str">
        <x:f>_xlfn.IFNA(VLOOKUP(_xlfn.CONCAT(I310,"|",J310),RiskValues!C:D,2,FALSE),"")</x:f>
      </x:c>
    </x:row>
    <x:row r="311">
      <x:c r="B311" s="25" t="str">
        <x:f>_xlfn.IFNA(VLOOKUP(A311,InfoSecThreats!A:B,2,FALSE),"")</x:f>
      </x:c>
      <x:c r="D311" s="25" t="str">
        <x:f>_xlfn.IFNA(VLOOKUP(Vulnerabilities!C311,Assets!A:C,2,FALSE),"")</x:f>
      </x:c>
      <x:c r="E311" s="25" t="str">
        <x:f>_xlfn.IFNA(VLOOKUP(Vulnerabilities!C311,Assets!A:C,3,FALSE),"")</x:f>
      </x:c>
      <x:c r="G311" s="26" t="str">
        <x:f t="shared" si="4"/>
      </x:c>
      <x:c r="K311" s="26" t="str">
        <x:f>_xlfn.IFNA(VLOOKUP(_xlfn.CONCAT(I311,"|",J311),RiskValues!C:D,2,FALSE),"")</x:f>
      </x:c>
    </x:row>
    <x:row r="312">
      <x:c r="B312" s="25" t="str">
        <x:f>_xlfn.IFNA(VLOOKUP(A312,InfoSecThreats!A:B,2,FALSE),"")</x:f>
      </x:c>
      <x:c r="D312" s="25" t="str">
        <x:f>_xlfn.IFNA(VLOOKUP(Vulnerabilities!C312,Assets!A:C,2,FALSE),"")</x:f>
      </x:c>
      <x:c r="E312" s="25" t="str">
        <x:f>_xlfn.IFNA(VLOOKUP(Vulnerabilities!C312,Assets!A:C,3,FALSE),"")</x:f>
      </x:c>
      <x:c r="G312" s="26" t="str">
        <x:f t="shared" si="4"/>
      </x:c>
      <x:c r="K312" s="26" t="str">
        <x:f>_xlfn.IFNA(VLOOKUP(_xlfn.CONCAT(I312,"|",J312),RiskValues!C:D,2,FALSE),"")</x:f>
      </x:c>
    </x:row>
    <x:row r="313">
      <x:c r="B313" s="25" t="str">
        <x:f>_xlfn.IFNA(VLOOKUP(A313,InfoSecThreats!A:B,2,FALSE),"")</x:f>
      </x:c>
      <x:c r="D313" s="25" t="str">
        <x:f>_xlfn.IFNA(VLOOKUP(Vulnerabilities!C313,Assets!A:C,2,FALSE),"")</x:f>
      </x:c>
      <x:c r="E313" s="25" t="str">
        <x:f>_xlfn.IFNA(VLOOKUP(Vulnerabilities!C313,Assets!A:C,3,FALSE),"")</x:f>
      </x:c>
      <x:c r="G313" s="26" t="str">
        <x:f t="shared" si="4"/>
      </x:c>
      <x:c r="K313" s="26" t="str">
        <x:f>_xlfn.IFNA(VLOOKUP(_xlfn.CONCAT(I313,"|",J313),RiskValues!C:D,2,FALSE),"")</x:f>
      </x:c>
    </x:row>
    <x:row r="314">
      <x:c r="B314" s="25" t="str">
        <x:f>_xlfn.IFNA(VLOOKUP(A314,InfoSecThreats!A:B,2,FALSE),"")</x:f>
      </x:c>
      <x:c r="D314" s="25" t="str">
        <x:f>_xlfn.IFNA(VLOOKUP(Vulnerabilities!C314,Assets!A:C,2,FALSE),"")</x:f>
      </x:c>
      <x:c r="E314" s="25" t="str">
        <x:f>_xlfn.IFNA(VLOOKUP(Vulnerabilities!C314,Assets!A:C,3,FALSE),"")</x:f>
      </x:c>
      <x:c r="G314" s="26" t="str">
        <x:f t="shared" si="4"/>
      </x:c>
      <x:c r="K314" s="26" t="str">
        <x:f>_xlfn.IFNA(VLOOKUP(_xlfn.CONCAT(I314,"|",J314),RiskValues!C:D,2,FALSE),"")</x:f>
      </x:c>
    </x:row>
    <x:row r="315">
      <x:c r="B315" s="25" t="str">
        <x:f>_xlfn.IFNA(VLOOKUP(A315,InfoSecThreats!A:B,2,FALSE),"")</x:f>
      </x:c>
      <x:c r="D315" s="25" t="str">
        <x:f>_xlfn.IFNA(VLOOKUP(Vulnerabilities!C315,Assets!A:C,2,FALSE),"")</x:f>
      </x:c>
      <x:c r="E315" s="25" t="str">
        <x:f>_xlfn.IFNA(VLOOKUP(Vulnerabilities!C315,Assets!A:C,3,FALSE),"")</x:f>
      </x:c>
      <x:c r="G315" s="26" t="str">
        <x:f t="shared" si="4"/>
      </x:c>
      <x:c r="K315" s="26" t="str">
        <x:f>_xlfn.IFNA(VLOOKUP(_xlfn.CONCAT(I315,"|",J315),RiskValues!C:D,2,FALSE),"")</x:f>
      </x:c>
    </x:row>
    <x:row r="316">
      <x:c r="B316" s="25" t="str">
        <x:f>_xlfn.IFNA(VLOOKUP(A316,InfoSecThreats!A:B,2,FALSE),"")</x:f>
      </x:c>
      <x:c r="D316" s="25" t="str">
        <x:f>_xlfn.IFNA(VLOOKUP(Vulnerabilities!C316,Assets!A:C,2,FALSE),"")</x:f>
      </x:c>
      <x:c r="E316" s="25" t="str">
        <x:f>_xlfn.IFNA(VLOOKUP(Vulnerabilities!C316,Assets!A:C,3,FALSE),"")</x:f>
      </x:c>
      <x:c r="G316" s="26" t="str">
        <x:f t="shared" si="4"/>
      </x:c>
      <x:c r="K316" s="26" t="str">
        <x:f>_xlfn.IFNA(VLOOKUP(_xlfn.CONCAT(I316,"|",J316),RiskValues!C:D,2,FALSE),"")</x:f>
      </x:c>
    </x:row>
    <x:row r="317">
      <x:c r="B317" s="25" t="str">
        <x:f>_xlfn.IFNA(VLOOKUP(A317,InfoSecThreats!A:B,2,FALSE),"")</x:f>
      </x:c>
      <x:c r="D317" s="25" t="str">
        <x:f>_xlfn.IFNA(VLOOKUP(Vulnerabilities!C317,Assets!A:C,2,FALSE),"")</x:f>
      </x:c>
      <x:c r="E317" s="25" t="str">
        <x:f>_xlfn.IFNA(VLOOKUP(Vulnerabilities!C317,Assets!A:C,3,FALSE),"")</x:f>
      </x:c>
      <x:c r="G317" s="26" t="str">
        <x:f t="shared" si="4"/>
      </x:c>
      <x:c r="K317" s="26" t="str">
        <x:f>_xlfn.IFNA(VLOOKUP(_xlfn.CONCAT(I317,"|",J317),RiskValues!C:D,2,FALSE),"")</x:f>
      </x:c>
    </x:row>
    <x:row r="318">
      <x:c r="B318" s="25" t="str">
        <x:f>_xlfn.IFNA(VLOOKUP(A318,InfoSecThreats!A:B,2,FALSE),"")</x:f>
      </x:c>
      <x:c r="D318" s="25" t="str">
        <x:f>_xlfn.IFNA(VLOOKUP(Vulnerabilities!C318,Assets!A:C,2,FALSE),"")</x:f>
      </x:c>
      <x:c r="E318" s="25" t="str">
        <x:f>_xlfn.IFNA(VLOOKUP(Vulnerabilities!C318,Assets!A:C,3,FALSE),"")</x:f>
      </x:c>
      <x:c r="G318" s="26" t="str">
        <x:f t="shared" si="4"/>
      </x:c>
      <x:c r="K318" s="26" t="str">
        <x:f>_xlfn.IFNA(VLOOKUP(_xlfn.CONCAT(I318,"|",J318),RiskValues!C:D,2,FALSE),"")</x:f>
      </x:c>
    </x:row>
    <x:row r="319">
      <x:c r="B319" s="25" t="str">
        <x:f>_xlfn.IFNA(VLOOKUP(A319,InfoSecThreats!A:B,2,FALSE),"")</x:f>
      </x:c>
      <x:c r="D319" s="25" t="str">
        <x:f>_xlfn.IFNA(VLOOKUP(Vulnerabilities!C319,Assets!A:C,2,FALSE),"")</x:f>
      </x:c>
      <x:c r="E319" s="25" t="str">
        <x:f>_xlfn.IFNA(VLOOKUP(Vulnerabilities!C319,Assets!A:C,3,FALSE),"")</x:f>
      </x:c>
      <x:c r="G319" s="26" t="str">
        <x:f t="shared" si="4"/>
      </x:c>
      <x:c r="K319" s="26" t="str">
        <x:f>_xlfn.IFNA(VLOOKUP(_xlfn.CONCAT(I319,"|",J319),RiskValues!C:D,2,FALSE),"")</x:f>
      </x:c>
    </x:row>
    <x:row r="320">
      <x:c r="B320" s="25" t="str">
        <x:f>_xlfn.IFNA(VLOOKUP(A320,InfoSecThreats!A:B,2,FALSE),"")</x:f>
      </x:c>
      <x:c r="D320" s="25" t="str">
        <x:f>_xlfn.IFNA(VLOOKUP(Vulnerabilities!C320,Assets!A:C,2,FALSE),"")</x:f>
      </x:c>
      <x:c r="E320" s="25" t="str">
        <x:f>_xlfn.IFNA(VLOOKUP(Vulnerabilities!C320,Assets!A:C,3,FALSE),"")</x:f>
      </x:c>
      <x:c r="G320" s="26" t="str">
        <x:f t="shared" si="4"/>
      </x:c>
      <x:c r="K320" s="26" t="str">
        <x:f>_xlfn.IFNA(VLOOKUP(_xlfn.CONCAT(I320,"|",J320),RiskValues!C:D,2,FALSE),"")</x:f>
      </x:c>
    </x:row>
    <x:row r="321">
      <x:c r="B321" s="25" t="str">
        <x:f>_xlfn.IFNA(VLOOKUP(A321,InfoSecThreats!A:B,2,FALSE),"")</x:f>
      </x:c>
      <x:c r="D321" s="25" t="str">
        <x:f>_xlfn.IFNA(VLOOKUP(Vulnerabilities!C321,Assets!A:C,2,FALSE),"")</x:f>
      </x:c>
      <x:c r="E321" s="25" t="str">
        <x:f>_xlfn.IFNA(VLOOKUP(Vulnerabilities!C321,Assets!A:C,3,FALSE),"")</x:f>
      </x:c>
      <x:c r="G321" s="26" t="str">
        <x:f t="shared" si="4"/>
      </x:c>
      <x:c r="K321" s="26" t="str">
        <x:f>_xlfn.IFNA(VLOOKUP(_xlfn.CONCAT(I321,"|",J321),RiskValues!C:D,2,FALSE),"")</x:f>
      </x:c>
    </x:row>
    <x:row r="322">
      <x:c r="B322" s="25" t="str">
        <x:f>_xlfn.IFNA(VLOOKUP(A322,InfoSecThreats!A:B,2,FALSE),"")</x:f>
      </x:c>
      <x:c r="D322" s="25" t="str">
        <x:f>_xlfn.IFNA(VLOOKUP(Vulnerabilities!C322,Assets!A:C,2,FALSE),"")</x:f>
      </x:c>
      <x:c r="E322" s="25" t="str">
        <x:f>_xlfn.IFNA(VLOOKUP(Vulnerabilities!C322,Assets!A:C,3,FALSE),"")</x:f>
      </x:c>
      <x:c r="G322" s="26" t="str">
        <x:f t="shared" si="4"/>
      </x:c>
      <x:c r="K322" s="26" t="str">
        <x:f>_xlfn.IFNA(VLOOKUP(_xlfn.CONCAT(I322,"|",J322),RiskValues!C:D,2,FALSE),"")</x:f>
      </x:c>
    </x:row>
    <x:row r="323">
      <x:c r="B323" s="25" t="str">
        <x:f>_xlfn.IFNA(VLOOKUP(A323,InfoSecThreats!A:B,2,FALSE),"")</x:f>
      </x:c>
      <x:c r="D323" s="25" t="str">
        <x:f>_xlfn.IFNA(VLOOKUP(Vulnerabilities!C323,Assets!A:C,2,FALSE),"")</x:f>
      </x:c>
      <x:c r="E323" s="25" t="str">
        <x:f>_xlfn.IFNA(VLOOKUP(Vulnerabilities!C323,Assets!A:C,3,FALSE),"")</x:f>
      </x:c>
      <x:c r="G323" s="26" t="str">
        <x:f t="shared" ref="G323:G386" si="5">IF(ISBLANK(F323),"",_xlfn.CONCAT("T",A323,"V",F323,"A",C323))</x:f>
      </x:c>
      <x:c r="K323" s="26" t="str">
        <x:f>_xlfn.IFNA(VLOOKUP(_xlfn.CONCAT(I323,"|",J323),RiskValues!C:D,2,FALSE),"")</x:f>
      </x:c>
    </x:row>
    <x:row r="324">
      <x:c r="B324" s="25" t="str">
        <x:f>_xlfn.IFNA(VLOOKUP(A324,InfoSecThreats!A:B,2,FALSE),"")</x:f>
      </x:c>
      <x:c r="D324" s="25" t="str">
        <x:f>_xlfn.IFNA(VLOOKUP(Vulnerabilities!C324,Assets!A:C,2,FALSE),"")</x:f>
      </x:c>
      <x:c r="E324" s="25" t="str">
        <x:f>_xlfn.IFNA(VLOOKUP(Vulnerabilities!C324,Assets!A:C,3,FALSE),"")</x:f>
      </x:c>
      <x:c r="G324" s="26" t="str">
        <x:f t="shared" si="5"/>
      </x:c>
      <x:c r="K324" s="26" t="str">
        <x:f>_xlfn.IFNA(VLOOKUP(_xlfn.CONCAT(I324,"|",J324),RiskValues!C:D,2,FALSE),"")</x:f>
      </x:c>
    </x:row>
    <x:row r="325">
      <x:c r="B325" s="25" t="str">
        <x:f>_xlfn.IFNA(VLOOKUP(A325,InfoSecThreats!A:B,2,FALSE),"")</x:f>
      </x:c>
      <x:c r="D325" s="25" t="str">
        <x:f>_xlfn.IFNA(VLOOKUP(Vulnerabilities!C325,Assets!A:C,2,FALSE),"")</x:f>
      </x:c>
      <x:c r="E325" s="25" t="str">
        <x:f>_xlfn.IFNA(VLOOKUP(Vulnerabilities!C325,Assets!A:C,3,FALSE),"")</x:f>
      </x:c>
      <x:c r="G325" s="26" t="str">
        <x:f t="shared" si="5"/>
      </x:c>
      <x:c r="K325" s="26" t="str">
        <x:f>_xlfn.IFNA(VLOOKUP(_xlfn.CONCAT(I325,"|",J325),RiskValues!C:D,2,FALSE),"")</x:f>
      </x:c>
    </x:row>
    <x:row r="326">
      <x:c r="B326" s="25" t="str">
        <x:f>_xlfn.IFNA(VLOOKUP(A326,InfoSecThreats!A:B,2,FALSE),"")</x:f>
      </x:c>
      <x:c r="D326" s="25" t="str">
        <x:f>_xlfn.IFNA(VLOOKUP(Vulnerabilities!C326,Assets!A:C,2,FALSE),"")</x:f>
      </x:c>
      <x:c r="E326" s="25" t="str">
        <x:f>_xlfn.IFNA(VLOOKUP(Vulnerabilities!C326,Assets!A:C,3,FALSE),"")</x:f>
      </x:c>
      <x:c r="G326" s="26" t="str">
        <x:f t="shared" si="5"/>
      </x:c>
      <x:c r="K326" s="26" t="str">
        <x:f>_xlfn.IFNA(VLOOKUP(_xlfn.CONCAT(I326,"|",J326),RiskValues!C:D,2,FALSE),"")</x:f>
      </x:c>
    </x:row>
    <x:row r="327">
      <x:c r="B327" s="25" t="str">
        <x:f>_xlfn.IFNA(VLOOKUP(A327,InfoSecThreats!A:B,2,FALSE),"")</x:f>
      </x:c>
      <x:c r="D327" s="25" t="str">
        <x:f>_xlfn.IFNA(VLOOKUP(Vulnerabilities!C327,Assets!A:C,2,FALSE),"")</x:f>
      </x:c>
      <x:c r="E327" s="25" t="str">
        <x:f>_xlfn.IFNA(VLOOKUP(Vulnerabilities!C327,Assets!A:C,3,FALSE),"")</x:f>
      </x:c>
      <x:c r="G327" s="26" t="str">
        <x:f t="shared" si="5"/>
      </x:c>
      <x:c r="K327" s="26" t="str">
        <x:f>_xlfn.IFNA(VLOOKUP(_xlfn.CONCAT(I327,"|",J327),RiskValues!C:D,2,FALSE),"")</x:f>
      </x:c>
    </x:row>
    <x:row r="328">
      <x:c r="B328" s="25" t="str">
        <x:f>_xlfn.IFNA(VLOOKUP(A328,InfoSecThreats!A:B,2,FALSE),"")</x:f>
      </x:c>
      <x:c r="D328" s="25" t="str">
        <x:f>_xlfn.IFNA(VLOOKUP(Vulnerabilities!C328,Assets!A:C,2,FALSE),"")</x:f>
      </x:c>
      <x:c r="E328" s="25" t="str">
        <x:f>_xlfn.IFNA(VLOOKUP(Vulnerabilities!C328,Assets!A:C,3,FALSE),"")</x:f>
      </x:c>
      <x:c r="G328" s="26" t="str">
        <x:f t="shared" si="5"/>
      </x:c>
      <x:c r="K328" s="26" t="str">
        <x:f>_xlfn.IFNA(VLOOKUP(_xlfn.CONCAT(I328,"|",J328),RiskValues!C:D,2,FALSE),"")</x:f>
      </x:c>
    </x:row>
    <x:row r="329">
      <x:c r="B329" s="25" t="str">
        <x:f>_xlfn.IFNA(VLOOKUP(A329,InfoSecThreats!A:B,2,FALSE),"")</x:f>
      </x:c>
      <x:c r="D329" s="25" t="str">
        <x:f>_xlfn.IFNA(VLOOKUP(Vulnerabilities!C329,Assets!A:C,2,FALSE),"")</x:f>
      </x:c>
      <x:c r="E329" s="25" t="str">
        <x:f>_xlfn.IFNA(VLOOKUP(Vulnerabilities!C329,Assets!A:C,3,FALSE),"")</x:f>
      </x:c>
      <x:c r="G329" s="26" t="str">
        <x:f t="shared" si="5"/>
      </x:c>
      <x:c r="K329" s="26" t="str">
        <x:f>_xlfn.IFNA(VLOOKUP(_xlfn.CONCAT(I329,"|",J329),RiskValues!C:D,2,FALSE),"")</x:f>
      </x:c>
    </x:row>
    <x:row r="330">
      <x:c r="B330" s="25" t="str">
        <x:f>_xlfn.IFNA(VLOOKUP(A330,InfoSecThreats!A:B,2,FALSE),"")</x:f>
      </x:c>
      <x:c r="D330" s="25" t="str">
        <x:f>_xlfn.IFNA(VLOOKUP(Vulnerabilities!C330,Assets!A:C,2,FALSE),"")</x:f>
      </x:c>
      <x:c r="E330" s="25" t="str">
        <x:f>_xlfn.IFNA(VLOOKUP(Vulnerabilities!C330,Assets!A:C,3,FALSE),"")</x:f>
      </x:c>
      <x:c r="G330" s="26" t="str">
        <x:f t="shared" si="5"/>
      </x:c>
      <x:c r="K330" s="26" t="str">
        <x:f>_xlfn.IFNA(VLOOKUP(_xlfn.CONCAT(I330,"|",J330),RiskValues!C:D,2,FALSE),"")</x:f>
      </x:c>
    </x:row>
    <x:row r="331">
      <x:c r="B331" s="25" t="str">
        <x:f>_xlfn.IFNA(VLOOKUP(A331,InfoSecThreats!A:B,2,FALSE),"")</x:f>
      </x:c>
      <x:c r="D331" s="25" t="str">
        <x:f>_xlfn.IFNA(VLOOKUP(Vulnerabilities!C331,Assets!A:C,2,FALSE),"")</x:f>
      </x:c>
      <x:c r="E331" s="25" t="str">
        <x:f>_xlfn.IFNA(VLOOKUP(Vulnerabilities!C331,Assets!A:C,3,FALSE),"")</x:f>
      </x:c>
      <x:c r="G331" s="26" t="str">
        <x:f t="shared" si="5"/>
      </x:c>
      <x:c r="K331" s="26" t="str">
        <x:f>_xlfn.IFNA(VLOOKUP(_xlfn.CONCAT(I331,"|",J331),RiskValues!C:D,2,FALSE),"")</x:f>
      </x:c>
    </x:row>
    <x:row r="332">
      <x:c r="B332" s="25" t="str">
        <x:f>_xlfn.IFNA(VLOOKUP(A332,InfoSecThreats!A:B,2,FALSE),"")</x:f>
      </x:c>
      <x:c r="D332" s="25" t="str">
        <x:f>_xlfn.IFNA(VLOOKUP(Vulnerabilities!C332,Assets!A:C,2,FALSE),"")</x:f>
      </x:c>
      <x:c r="E332" s="25" t="str">
        <x:f>_xlfn.IFNA(VLOOKUP(Vulnerabilities!C332,Assets!A:C,3,FALSE),"")</x:f>
      </x:c>
      <x:c r="G332" s="26" t="str">
        <x:f t="shared" si="5"/>
      </x:c>
      <x:c r="K332" s="26" t="str">
        <x:f>_xlfn.IFNA(VLOOKUP(_xlfn.CONCAT(I332,"|",J332),RiskValues!C:D,2,FALSE),"")</x:f>
      </x:c>
    </x:row>
    <x:row r="333">
      <x:c r="B333" s="25" t="str">
        <x:f>_xlfn.IFNA(VLOOKUP(A333,InfoSecThreats!A:B,2,FALSE),"")</x:f>
      </x:c>
      <x:c r="D333" s="25" t="str">
        <x:f>_xlfn.IFNA(VLOOKUP(Vulnerabilities!C333,Assets!A:C,2,FALSE),"")</x:f>
      </x:c>
      <x:c r="E333" s="25" t="str">
        <x:f>_xlfn.IFNA(VLOOKUP(Vulnerabilities!C333,Assets!A:C,3,FALSE),"")</x:f>
      </x:c>
      <x:c r="G333" s="26" t="str">
        <x:f t="shared" si="5"/>
      </x:c>
      <x:c r="K333" s="26" t="str">
        <x:f>_xlfn.IFNA(VLOOKUP(_xlfn.CONCAT(I333,"|",J333),RiskValues!C:D,2,FALSE),"")</x:f>
      </x:c>
    </x:row>
    <x:row r="334">
      <x:c r="B334" s="25" t="str">
        <x:f>_xlfn.IFNA(VLOOKUP(A334,InfoSecThreats!A:B,2,FALSE),"")</x:f>
      </x:c>
      <x:c r="D334" s="25" t="str">
        <x:f>_xlfn.IFNA(VLOOKUP(Vulnerabilities!C334,Assets!A:C,2,FALSE),"")</x:f>
      </x:c>
      <x:c r="E334" s="25" t="str">
        <x:f>_xlfn.IFNA(VLOOKUP(Vulnerabilities!C334,Assets!A:C,3,FALSE),"")</x:f>
      </x:c>
      <x:c r="G334" s="26" t="str">
        <x:f t="shared" si="5"/>
      </x:c>
      <x:c r="K334" s="26" t="str">
        <x:f>_xlfn.IFNA(VLOOKUP(_xlfn.CONCAT(I334,"|",J334),RiskValues!C:D,2,FALSE),"")</x:f>
      </x:c>
    </x:row>
    <x:row r="335">
      <x:c r="B335" s="25" t="str">
        <x:f>_xlfn.IFNA(VLOOKUP(A335,InfoSecThreats!A:B,2,FALSE),"")</x:f>
      </x:c>
      <x:c r="D335" s="25" t="str">
        <x:f>_xlfn.IFNA(VLOOKUP(Vulnerabilities!C335,Assets!A:C,2,FALSE),"")</x:f>
      </x:c>
      <x:c r="E335" s="25" t="str">
        <x:f>_xlfn.IFNA(VLOOKUP(Vulnerabilities!C335,Assets!A:C,3,FALSE),"")</x:f>
      </x:c>
      <x:c r="G335" s="26" t="str">
        <x:f t="shared" si="5"/>
      </x:c>
      <x:c r="K335" s="26" t="str">
        <x:f>_xlfn.IFNA(VLOOKUP(_xlfn.CONCAT(I335,"|",J335),RiskValues!C:D,2,FALSE),"")</x:f>
      </x:c>
    </x:row>
    <x:row r="336">
      <x:c r="B336" s="25" t="str">
        <x:f>_xlfn.IFNA(VLOOKUP(A336,InfoSecThreats!A:B,2,FALSE),"")</x:f>
      </x:c>
      <x:c r="D336" s="25" t="str">
        <x:f>_xlfn.IFNA(VLOOKUP(Vulnerabilities!C336,Assets!A:C,2,FALSE),"")</x:f>
      </x:c>
      <x:c r="E336" s="25" t="str">
        <x:f>_xlfn.IFNA(VLOOKUP(Vulnerabilities!C336,Assets!A:C,3,FALSE),"")</x:f>
      </x:c>
      <x:c r="G336" s="26" t="str">
        <x:f t="shared" si="5"/>
      </x:c>
      <x:c r="K336" s="26" t="str">
        <x:f>_xlfn.IFNA(VLOOKUP(_xlfn.CONCAT(I336,"|",J336),RiskValues!C:D,2,FALSE),"")</x:f>
      </x:c>
    </x:row>
    <x:row r="337">
      <x:c r="B337" s="25" t="str">
        <x:f>_xlfn.IFNA(VLOOKUP(A337,InfoSecThreats!A:B,2,FALSE),"")</x:f>
      </x:c>
      <x:c r="D337" s="25" t="str">
        <x:f>_xlfn.IFNA(VLOOKUP(Vulnerabilities!C337,Assets!A:C,2,FALSE),"")</x:f>
      </x:c>
      <x:c r="E337" s="25" t="str">
        <x:f>_xlfn.IFNA(VLOOKUP(Vulnerabilities!C337,Assets!A:C,3,FALSE),"")</x:f>
      </x:c>
      <x:c r="G337" s="26" t="str">
        <x:f t="shared" si="5"/>
      </x:c>
      <x:c r="K337" s="26" t="str">
        <x:f>_xlfn.IFNA(VLOOKUP(_xlfn.CONCAT(I337,"|",J337),RiskValues!C:D,2,FALSE),"")</x:f>
      </x:c>
    </x:row>
    <x:row r="338">
      <x:c r="B338" s="25" t="str">
        <x:f>_xlfn.IFNA(VLOOKUP(A338,InfoSecThreats!A:B,2,FALSE),"")</x:f>
      </x:c>
      <x:c r="D338" s="25" t="str">
        <x:f>_xlfn.IFNA(VLOOKUP(Vulnerabilities!C338,Assets!A:C,2,FALSE),"")</x:f>
      </x:c>
      <x:c r="E338" s="25" t="str">
        <x:f>_xlfn.IFNA(VLOOKUP(Vulnerabilities!C338,Assets!A:C,3,FALSE),"")</x:f>
      </x:c>
      <x:c r="G338" s="26" t="str">
        <x:f t="shared" si="5"/>
      </x:c>
      <x:c r="K338" s="26" t="str">
        <x:f>_xlfn.IFNA(VLOOKUP(_xlfn.CONCAT(I338,"|",J338),RiskValues!C:D,2,FALSE),"")</x:f>
      </x:c>
    </x:row>
    <x:row r="339">
      <x:c r="B339" s="25" t="str">
        <x:f>_xlfn.IFNA(VLOOKUP(A339,InfoSecThreats!A:B,2,FALSE),"")</x:f>
      </x:c>
      <x:c r="D339" s="25" t="str">
        <x:f>_xlfn.IFNA(VLOOKUP(Vulnerabilities!C339,Assets!A:C,2,FALSE),"")</x:f>
      </x:c>
      <x:c r="E339" s="25" t="str">
        <x:f>_xlfn.IFNA(VLOOKUP(Vulnerabilities!C339,Assets!A:C,3,FALSE),"")</x:f>
      </x:c>
      <x:c r="G339" s="26" t="str">
        <x:f t="shared" si="5"/>
      </x:c>
      <x:c r="K339" s="26" t="str">
        <x:f>_xlfn.IFNA(VLOOKUP(_xlfn.CONCAT(I339,"|",J339),RiskValues!C:D,2,FALSE),"")</x:f>
      </x:c>
    </x:row>
    <x:row r="340">
      <x:c r="B340" s="25" t="str">
        <x:f>_xlfn.IFNA(VLOOKUP(A340,InfoSecThreats!A:B,2,FALSE),"")</x:f>
      </x:c>
      <x:c r="D340" s="25" t="str">
        <x:f>_xlfn.IFNA(VLOOKUP(Vulnerabilities!C340,Assets!A:C,2,FALSE),"")</x:f>
      </x:c>
      <x:c r="E340" s="25" t="str">
        <x:f>_xlfn.IFNA(VLOOKUP(Vulnerabilities!C340,Assets!A:C,3,FALSE),"")</x:f>
      </x:c>
      <x:c r="G340" s="26" t="str">
        <x:f t="shared" si="5"/>
      </x:c>
      <x:c r="K340" s="26" t="str">
        <x:f>_xlfn.IFNA(VLOOKUP(_xlfn.CONCAT(I340,"|",J340),RiskValues!C:D,2,FALSE),"")</x:f>
      </x:c>
    </x:row>
    <x:row r="341">
      <x:c r="B341" s="25" t="str">
        <x:f>_xlfn.IFNA(VLOOKUP(A341,InfoSecThreats!A:B,2,FALSE),"")</x:f>
      </x:c>
      <x:c r="D341" s="25" t="str">
        <x:f>_xlfn.IFNA(VLOOKUP(Vulnerabilities!C341,Assets!A:C,2,FALSE),"")</x:f>
      </x:c>
      <x:c r="E341" s="25" t="str">
        <x:f>_xlfn.IFNA(VLOOKUP(Vulnerabilities!C341,Assets!A:C,3,FALSE),"")</x:f>
      </x:c>
      <x:c r="G341" s="26" t="str">
        <x:f t="shared" si="5"/>
      </x:c>
      <x:c r="K341" s="26" t="str">
        <x:f>_xlfn.IFNA(VLOOKUP(_xlfn.CONCAT(I341,"|",J341),RiskValues!C:D,2,FALSE),"")</x:f>
      </x:c>
    </x:row>
    <x:row r="342">
      <x:c r="B342" s="25" t="str">
        <x:f>_xlfn.IFNA(VLOOKUP(A342,InfoSecThreats!A:B,2,FALSE),"")</x:f>
      </x:c>
      <x:c r="D342" s="25" t="str">
        <x:f>_xlfn.IFNA(VLOOKUP(Vulnerabilities!C342,Assets!A:C,2,FALSE),"")</x:f>
      </x:c>
      <x:c r="E342" s="25" t="str">
        <x:f>_xlfn.IFNA(VLOOKUP(Vulnerabilities!C342,Assets!A:C,3,FALSE),"")</x:f>
      </x:c>
      <x:c r="G342" s="26" t="str">
        <x:f t="shared" si="5"/>
      </x:c>
      <x:c r="K342" s="26" t="str">
        <x:f>_xlfn.IFNA(VLOOKUP(_xlfn.CONCAT(I342,"|",J342),RiskValues!C:D,2,FALSE),"")</x:f>
      </x:c>
    </x:row>
    <x:row r="343">
      <x:c r="B343" s="25" t="str">
        <x:f>_xlfn.IFNA(VLOOKUP(A343,InfoSecThreats!A:B,2,FALSE),"")</x:f>
      </x:c>
      <x:c r="D343" s="25" t="str">
        <x:f>_xlfn.IFNA(VLOOKUP(Vulnerabilities!C343,Assets!A:C,2,FALSE),"")</x:f>
      </x:c>
      <x:c r="E343" s="25" t="str">
        <x:f>_xlfn.IFNA(VLOOKUP(Vulnerabilities!C343,Assets!A:C,3,FALSE),"")</x:f>
      </x:c>
      <x:c r="G343" s="26" t="str">
        <x:f t="shared" si="5"/>
      </x:c>
      <x:c r="K343" s="26" t="str">
        <x:f>_xlfn.IFNA(VLOOKUP(_xlfn.CONCAT(I343,"|",J343),RiskValues!C:D,2,FALSE),"")</x:f>
      </x:c>
    </x:row>
    <x:row r="344">
      <x:c r="B344" s="25" t="str">
        <x:f>_xlfn.IFNA(VLOOKUP(A344,InfoSecThreats!A:B,2,FALSE),"")</x:f>
      </x:c>
      <x:c r="D344" s="25" t="str">
        <x:f>_xlfn.IFNA(VLOOKUP(Vulnerabilities!C344,Assets!A:C,2,FALSE),"")</x:f>
      </x:c>
      <x:c r="E344" s="25" t="str">
        <x:f>_xlfn.IFNA(VLOOKUP(Vulnerabilities!C344,Assets!A:C,3,FALSE),"")</x:f>
      </x:c>
      <x:c r="G344" s="26" t="str">
        <x:f t="shared" si="5"/>
      </x:c>
      <x:c r="K344" s="26" t="str">
        <x:f>_xlfn.IFNA(VLOOKUP(_xlfn.CONCAT(I344,"|",J344),RiskValues!C:D,2,FALSE),"")</x:f>
      </x:c>
    </x:row>
    <x:row r="345">
      <x:c r="B345" s="25" t="str">
        <x:f>_xlfn.IFNA(VLOOKUP(A345,InfoSecThreats!A:B,2,FALSE),"")</x:f>
      </x:c>
      <x:c r="D345" s="25" t="str">
        <x:f>_xlfn.IFNA(VLOOKUP(Vulnerabilities!C345,Assets!A:C,2,FALSE),"")</x:f>
      </x:c>
      <x:c r="E345" s="25" t="str">
        <x:f>_xlfn.IFNA(VLOOKUP(Vulnerabilities!C345,Assets!A:C,3,FALSE),"")</x:f>
      </x:c>
      <x:c r="G345" s="26" t="str">
        <x:f t="shared" si="5"/>
      </x:c>
      <x:c r="K345" s="26" t="str">
        <x:f>_xlfn.IFNA(VLOOKUP(_xlfn.CONCAT(I345,"|",J345),RiskValues!C:D,2,FALSE),"")</x:f>
      </x:c>
    </x:row>
    <x:row r="346">
      <x:c r="B346" s="25" t="str">
        <x:f>_xlfn.IFNA(VLOOKUP(A346,InfoSecThreats!A:B,2,FALSE),"")</x:f>
      </x:c>
      <x:c r="D346" s="25" t="str">
        <x:f>_xlfn.IFNA(VLOOKUP(Vulnerabilities!C346,Assets!A:C,2,FALSE),"")</x:f>
      </x:c>
      <x:c r="E346" s="25" t="str">
        <x:f>_xlfn.IFNA(VLOOKUP(Vulnerabilities!C346,Assets!A:C,3,FALSE),"")</x:f>
      </x:c>
      <x:c r="G346" s="26" t="str">
        <x:f t="shared" si="5"/>
      </x:c>
      <x:c r="K346" s="26" t="str">
        <x:f>_xlfn.IFNA(VLOOKUP(_xlfn.CONCAT(I346,"|",J346),RiskValues!C:D,2,FALSE),"")</x:f>
      </x:c>
    </x:row>
    <x:row r="347">
      <x:c r="B347" s="25" t="str">
        <x:f>_xlfn.IFNA(VLOOKUP(A347,InfoSecThreats!A:B,2,FALSE),"")</x:f>
      </x:c>
      <x:c r="D347" s="25" t="str">
        <x:f>_xlfn.IFNA(VLOOKUP(Vulnerabilities!C347,Assets!A:C,2,FALSE),"")</x:f>
      </x:c>
      <x:c r="E347" s="25" t="str">
        <x:f>_xlfn.IFNA(VLOOKUP(Vulnerabilities!C347,Assets!A:C,3,FALSE),"")</x:f>
      </x:c>
      <x:c r="G347" s="26" t="str">
        <x:f t="shared" si="5"/>
      </x:c>
      <x:c r="K347" s="26" t="str">
        <x:f>_xlfn.IFNA(VLOOKUP(_xlfn.CONCAT(I347,"|",J347),RiskValues!C:D,2,FALSE),"")</x:f>
      </x:c>
    </x:row>
    <x:row r="348">
      <x:c r="B348" s="25" t="str">
        <x:f>_xlfn.IFNA(VLOOKUP(A348,InfoSecThreats!A:B,2,FALSE),"")</x:f>
      </x:c>
      <x:c r="D348" s="25" t="str">
        <x:f>_xlfn.IFNA(VLOOKUP(Vulnerabilities!C348,Assets!A:C,2,FALSE),"")</x:f>
      </x:c>
      <x:c r="E348" s="25" t="str">
        <x:f>_xlfn.IFNA(VLOOKUP(Vulnerabilities!C348,Assets!A:C,3,FALSE),"")</x:f>
      </x:c>
      <x:c r="G348" s="26" t="str">
        <x:f t="shared" si="5"/>
      </x:c>
      <x:c r="K348" s="26" t="str">
        <x:f>_xlfn.IFNA(VLOOKUP(_xlfn.CONCAT(I348,"|",J348),RiskValues!C:D,2,FALSE),"")</x:f>
      </x:c>
    </x:row>
    <x:row r="349">
      <x:c r="B349" s="25" t="str">
        <x:f>_xlfn.IFNA(VLOOKUP(A349,InfoSecThreats!A:B,2,FALSE),"")</x:f>
      </x:c>
      <x:c r="D349" s="25" t="str">
        <x:f>_xlfn.IFNA(VLOOKUP(Vulnerabilities!C349,Assets!A:C,2,FALSE),"")</x:f>
      </x:c>
      <x:c r="E349" s="25" t="str">
        <x:f>_xlfn.IFNA(VLOOKUP(Vulnerabilities!C349,Assets!A:C,3,FALSE),"")</x:f>
      </x:c>
      <x:c r="G349" s="26" t="str">
        <x:f t="shared" si="5"/>
      </x:c>
      <x:c r="K349" s="26" t="str">
        <x:f>_xlfn.IFNA(VLOOKUP(_xlfn.CONCAT(I349,"|",J349),RiskValues!C:D,2,FALSE),"")</x:f>
      </x:c>
    </x:row>
    <x:row r="350">
      <x:c r="B350" s="25" t="str">
        <x:f>_xlfn.IFNA(VLOOKUP(A350,InfoSecThreats!A:B,2,FALSE),"")</x:f>
      </x:c>
      <x:c r="D350" s="25" t="str">
        <x:f>_xlfn.IFNA(VLOOKUP(Vulnerabilities!C350,Assets!A:C,2,FALSE),"")</x:f>
      </x:c>
      <x:c r="E350" s="25" t="str">
        <x:f>_xlfn.IFNA(VLOOKUP(Vulnerabilities!C350,Assets!A:C,3,FALSE),"")</x:f>
      </x:c>
      <x:c r="G350" s="26" t="str">
        <x:f t="shared" si="5"/>
      </x:c>
      <x:c r="K350" s="26" t="str">
        <x:f>_xlfn.IFNA(VLOOKUP(_xlfn.CONCAT(I350,"|",J350),RiskValues!C:D,2,FALSE),"")</x:f>
      </x:c>
    </x:row>
    <x:row r="351">
      <x:c r="B351" s="25" t="str">
        <x:f>_xlfn.IFNA(VLOOKUP(A351,InfoSecThreats!A:B,2,FALSE),"")</x:f>
      </x:c>
      <x:c r="D351" s="25" t="str">
        <x:f>_xlfn.IFNA(VLOOKUP(Vulnerabilities!C351,Assets!A:C,2,FALSE),"")</x:f>
      </x:c>
      <x:c r="E351" s="25" t="str">
        <x:f>_xlfn.IFNA(VLOOKUP(Vulnerabilities!C351,Assets!A:C,3,FALSE),"")</x:f>
      </x:c>
      <x:c r="G351" s="26" t="str">
        <x:f t="shared" si="5"/>
      </x:c>
      <x:c r="K351" s="26" t="str">
        <x:f>_xlfn.IFNA(VLOOKUP(_xlfn.CONCAT(I351,"|",J351),RiskValues!C:D,2,FALSE),"")</x:f>
      </x:c>
    </x:row>
    <x:row r="352">
      <x:c r="B352" s="25" t="str">
        <x:f>_xlfn.IFNA(VLOOKUP(A352,InfoSecThreats!A:B,2,FALSE),"")</x:f>
      </x:c>
      <x:c r="D352" s="25" t="str">
        <x:f>_xlfn.IFNA(VLOOKUP(Vulnerabilities!C352,Assets!A:C,2,FALSE),"")</x:f>
      </x:c>
      <x:c r="E352" s="25" t="str">
        <x:f>_xlfn.IFNA(VLOOKUP(Vulnerabilities!C352,Assets!A:C,3,FALSE),"")</x:f>
      </x:c>
      <x:c r="G352" s="26" t="str">
        <x:f t="shared" si="5"/>
      </x:c>
      <x:c r="K352" s="26" t="str">
        <x:f>_xlfn.IFNA(VLOOKUP(_xlfn.CONCAT(I352,"|",J352),RiskValues!C:D,2,FALSE),"")</x:f>
      </x:c>
    </x:row>
    <x:row r="353">
      <x:c r="B353" s="25" t="str">
        <x:f>_xlfn.IFNA(VLOOKUP(A353,InfoSecThreats!A:B,2,FALSE),"")</x:f>
      </x:c>
      <x:c r="D353" s="25" t="str">
        <x:f>_xlfn.IFNA(VLOOKUP(Vulnerabilities!C353,Assets!A:C,2,FALSE),"")</x:f>
      </x:c>
      <x:c r="E353" s="25" t="str">
        <x:f>_xlfn.IFNA(VLOOKUP(Vulnerabilities!C353,Assets!A:C,3,FALSE),"")</x:f>
      </x:c>
      <x:c r="G353" s="26" t="str">
        <x:f t="shared" si="5"/>
      </x:c>
      <x:c r="K353" s="26" t="str">
        <x:f>_xlfn.IFNA(VLOOKUP(_xlfn.CONCAT(I353,"|",J353),RiskValues!C:D,2,FALSE),"")</x:f>
      </x:c>
    </x:row>
    <x:row r="354">
      <x:c r="B354" s="25" t="str">
        <x:f>_xlfn.IFNA(VLOOKUP(A354,InfoSecThreats!A:B,2,FALSE),"")</x:f>
      </x:c>
      <x:c r="D354" s="25" t="str">
        <x:f>_xlfn.IFNA(VLOOKUP(Vulnerabilities!C354,Assets!A:C,2,FALSE),"")</x:f>
      </x:c>
      <x:c r="E354" s="25" t="str">
        <x:f>_xlfn.IFNA(VLOOKUP(Vulnerabilities!C354,Assets!A:C,3,FALSE),"")</x:f>
      </x:c>
      <x:c r="G354" s="26" t="str">
        <x:f t="shared" si="5"/>
      </x:c>
      <x:c r="K354" s="26" t="str">
        <x:f>_xlfn.IFNA(VLOOKUP(_xlfn.CONCAT(I354,"|",J354),RiskValues!C:D,2,FALSE),"")</x:f>
      </x:c>
    </x:row>
    <x:row r="355">
      <x:c r="B355" s="25" t="str">
        <x:f>_xlfn.IFNA(VLOOKUP(A355,InfoSecThreats!A:B,2,FALSE),"")</x:f>
      </x:c>
      <x:c r="D355" s="25" t="str">
        <x:f>_xlfn.IFNA(VLOOKUP(Vulnerabilities!C355,Assets!A:C,2,FALSE),"")</x:f>
      </x:c>
      <x:c r="E355" s="25" t="str">
        <x:f>_xlfn.IFNA(VLOOKUP(Vulnerabilities!C355,Assets!A:C,3,FALSE),"")</x:f>
      </x:c>
      <x:c r="G355" s="26" t="str">
        <x:f t="shared" si="5"/>
      </x:c>
      <x:c r="K355" s="26" t="str">
        <x:f>_xlfn.IFNA(VLOOKUP(_xlfn.CONCAT(I355,"|",J355),RiskValues!C:D,2,FALSE),"")</x:f>
      </x:c>
    </x:row>
    <x:row r="356">
      <x:c r="B356" s="25" t="str">
        <x:f>_xlfn.IFNA(VLOOKUP(A356,InfoSecThreats!A:B,2,FALSE),"")</x:f>
      </x:c>
      <x:c r="D356" s="25" t="str">
        <x:f>_xlfn.IFNA(VLOOKUP(Vulnerabilities!C356,Assets!A:C,2,FALSE),"")</x:f>
      </x:c>
      <x:c r="E356" s="25" t="str">
        <x:f>_xlfn.IFNA(VLOOKUP(Vulnerabilities!C356,Assets!A:C,3,FALSE),"")</x:f>
      </x:c>
      <x:c r="G356" s="26" t="str">
        <x:f t="shared" si="5"/>
      </x:c>
      <x:c r="K356" s="26" t="str">
        <x:f>_xlfn.IFNA(VLOOKUP(_xlfn.CONCAT(I356,"|",J356),RiskValues!C:D,2,FALSE),"")</x:f>
      </x:c>
    </x:row>
    <x:row r="357">
      <x:c r="B357" s="25" t="str">
        <x:f>_xlfn.IFNA(VLOOKUP(A357,InfoSecThreats!A:B,2,FALSE),"")</x:f>
      </x:c>
      <x:c r="D357" s="25" t="str">
        <x:f>_xlfn.IFNA(VLOOKUP(Vulnerabilities!C357,Assets!A:C,2,FALSE),"")</x:f>
      </x:c>
      <x:c r="E357" s="25" t="str">
        <x:f>_xlfn.IFNA(VLOOKUP(Vulnerabilities!C357,Assets!A:C,3,FALSE),"")</x:f>
      </x:c>
      <x:c r="G357" s="26" t="str">
        <x:f t="shared" si="5"/>
      </x:c>
      <x:c r="K357" s="26" t="str">
        <x:f>_xlfn.IFNA(VLOOKUP(_xlfn.CONCAT(I357,"|",J357),RiskValues!C:D,2,FALSE),"")</x:f>
      </x:c>
    </x:row>
    <x:row r="358">
      <x:c r="B358" s="25" t="str">
        <x:f>_xlfn.IFNA(VLOOKUP(A358,InfoSecThreats!A:B,2,FALSE),"")</x:f>
      </x:c>
      <x:c r="D358" s="25" t="str">
        <x:f>_xlfn.IFNA(VLOOKUP(Vulnerabilities!C358,Assets!A:C,2,FALSE),"")</x:f>
      </x:c>
      <x:c r="E358" s="25" t="str">
        <x:f>_xlfn.IFNA(VLOOKUP(Vulnerabilities!C358,Assets!A:C,3,FALSE),"")</x:f>
      </x:c>
      <x:c r="G358" s="26" t="str">
        <x:f t="shared" si="5"/>
      </x:c>
      <x:c r="K358" s="26" t="str">
        <x:f>_xlfn.IFNA(VLOOKUP(_xlfn.CONCAT(I358,"|",J358),RiskValues!C:D,2,FALSE),"")</x:f>
      </x:c>
    </x:row>
    <x:row r="359">
      <x:c r="B359" s="25" t="str">
        <x:f>_xlfn.IFNA(VLOOKUP(A359,InfoSecThreats!A:B,2,FALSE),"")</x:f>
      </x:c>
      <x:c r="D359" s="25" t="str">
        <x:f>_xlfn.IFNA(VLOOKUP(Vulnerabilities!C359,Assets!A:C,2,FALSE),"")</x:f>
      </x:c>
      <x:c r="E359" s="25" t="str">
        <x:f>_xlfn.IFNA(VLOOKUP(Vulnerabilities!C359,Assets!A:C,3,FALSE),"")</x:f>
      </x:c>
      <x:c r="G359" s="26" t="str">
        <x:f t="shared" si="5"/>
      </x:c>
      <x:c r="K359" s="26" t="str">
        <x:f>_xlfn.IFNA(VLOOKUP(_xlfn.CONCAT(I359,"|",J359),RiskValues!C:D,2,FALSE),"")</x:f>
      </x:c>
    </x:row>
    <x:row r="360">
      <x:c r="B360" s="25" t="str">
        <x:f>_xlfn.IFNA(VLOOKUP(A360,InfoSecThreats!A:B,2,FALSE),"")</x:f>
      </x:c>
      <x:c r="D360" s="25" t="str">
        <x:f>_xlfn.IFNA(VLOOKUP(Vulnerabilities!C360,Assets!A:C,2,FALSE),"")</x:f>
      </x:c>
      <x:c r="E360" s="25" t="str">
        <x:f>_xlfn.IFNA(VLOOKUP(Vulnerabilities!C360,Assets!A:C,3,FALSE),"")</x:f>
      </x:c>
      <x:c r="G360" s="26" t="str">
        <x:f t="shared" si="5"/>
      </x:c>
      <x:c r="K360" s="26" t="str">
        <x:f>_xlfn.IFNA(VLOOKUP(_xlfn.CONCAT(I360,"|",J360),RiskValues!C:D,2,FALSE),"")</x:f>
      </x:c>
    </x:row>
    <x:row r="361">
      <x:c r="B361" s="25" t="str">
        <x:f>_xlfn.IFNA(VLOOKUP(A361,InfoSecThreats!A:B,2,FALSE),"")</x:f>
      </x:c>
      <x:c r="D361" s="25" t="str">
        <x:f>_xlfn.IFNA(VLOOKUP(Vulnerabilities!C361,Assets!A:C,2,FALSE),"")</x:f>
      </x:c>
      <x:c r="E361" s="25" t="str">
        <x:f>_xlfn.IFNA(VLOOKUP(Vulnerabilities!C361,Assets!A:C,3,FALSE),"")</x:f>
      </x:c>
      <x:c r="G361" s="26" t="str">
        <x:f t="shared" si="5"/>
      </x:c>
      <x:c r="K361" s="26" t="str">
        <x:f>_xlfn.IFNA(VLOOKUP(_xlfn.CONCAT(I361,"|",J361),RiskValues!C:D,2,FALSE),"")</x:f>
      </x:c>
    </x:row>
    <x:row r="362">
      <x:c r="B362" s="25" t="str">
        <x:f>_xlfn.IFNA(VLOOKUP(A362,InfoSecThreats!A:B,2,FALSE),"")</x:f>
      </x:c>
      <x:c r="D362" s="25" t="str">
        <x:f>_xlfn.IFNA(VLOOKUP(Vulnerabilities!C362,Assets!A:C,2,FALSE),"")</x:f>
      </x:c>
      <x:c r="E362" s="25" t="str">
        <x:f>_xlfn.IFNA(VLOOKUP(Vulnerabilities!C362,Assets!A:C,3,FALSE),"")</x:f>
      </x:c>
      <x:c r="G362" s="26" t="str">
        <x:f t="shared" si="5"/>
      </x:c>
      <x:c r="K362" s="26" t="str">
        <x:f>_xlfn.IFNA(VLOOKUP(_xlfn.CONCAT(I362,"|",J362),RiskValues!C:D,2,FALSE),"")</x:f>
      </x:c>
    </x:row>
    <x:row r="363">
      <x:c r="B363" s="25" t="str">
        <x:f>_xlfn.IFNA(VLOOKUP(A363,InfoSecThreats!A:B,2,FALSE),"")</x:f>
      </x:c>
      <x:c r="D363" s="25" t="str">
        <x:f>_xlfn.IFNA(VLOOKUP(Vulnerabilities!C363,Assets!A:C,2,FALSE),"")</x:f>
      </x:c>
      <x:c r="E363" s="25" t="str">
        <x:f>_xlfn.IFNA(VLOOKUP(Vulnerabilities!C363,Assets!A:C,3,FALSE),"")</x:f>
      </x:c>
      <x:c r="G363" s="26" t="str">
        <x:f t="shared" si="5"/>
      </x:c>
      <x:c r="K363" s="26" t="str">
        <x:f>_xlfn.IFNA(VLOOKUP(_xlfn.CONCAT(I363,"|",J363),RiskValues!C:D,2,FALSE),"")</x:f>
      </x:c>
    </x:row>
    <x:row r="364">
      <x:c r="B364" s="25" t="str">
        <x:f>_xlfn.IFNA(VLOOKUP(A364,InfoSecThreats!A:B,2,FALSE),"")</x:f>
      </x:c>
      <x:c r="D364" s="25" t="str">
        <x:f>_xlfn.IFNA(VLOOKUP(Vulnerabilities!C364,Assets!A:C,2,FALSE),"")</x:f>
      </x:c>
      <x:c r="E364" s="25" t="str">
        <x:f>_xlfn.IFNA(VLOOKUP(Vulnerabilities!C364,Assets!A:C,3,FALSE),"")</x:f>
      </x:c>
      <x:c r="G364" s="26" t="str">
        <x:f t="shared" si="5"/>
      </x:c>
      <x:c r="K364" s="26" t="str">
        <x:f>_xlfn.IFNA(VLOOKUP(_xlfn.CONCAT(I364,"|",J364),RiskValues!C:D,2,FALSE),"")</x:f>
      </x:c>
    </x:row>
    <x:row r="365">
      <x:c r="B365" s="25" t="str">
        <x:f>_xlfn.IFNA(VLOOKUP(A365,InfoSecThreats!A:B,2,FALSE),"")</x:f>
      </x:c>
      <x:c r="D365" s="25" t="str">
        <x:f>_xlfn.IFNA(VLOOKUP(Vulnerabilities!C365,Assets!A:C,2,FALSE),"")</x:f>
      </x:c>
      <x:c r="E365" s="25" t="str">
        <x:f>_xlfn.IFNA(VLOOKUP(Vulnerabilities!C365,Assets!A:C,3,FALSE),"")</x:f>
      </x:c>
      <x:c r="G365" s="26" t="str">
        <x:f t="shared" si="5"/>
      </x:c>
      <x:c r="K365" s="26" t="str">
        <x:f>_xlfn.IFNA(VLOOKUP(_xlfn.CONCAT(I365,"|",J365),RiskValues!C:D,2,FALSE),"")</x:f>
      </x:c>
    </x:row>
    <x:row r="366">
      <x:c r="B366" s="25" t="str">
        <x:f>_xlfn.IFNA(VLOOKUP(A366,InfoSecThreats!A:B,2,FALSE),"")</x:f>
      </x:c>
      <x:c r="D366" s="25" t="str">
        <x:f>_xlfn.IFNA(VLOOKUP(Vulnerabilities!C366,Assets!A:C,2,FALSE),"")</x:f>
      </x:c>
      <x:c r="E366" s="25" t="str">
        <x:f>_xlfn.IFNA(VLOOKUP(Vulnerabilities!C366,Assets!A:C,3,FALSE),"")</x:f>
      </x:c>
      <x:c r="G366" s="26" t="str">
        <x:f t="shared" si="5"/>
      </x:c>
      <x:c r="K366" s="26" t="str">
        <x:f>_xlfn.IFNA(VLOOKUP(_xlfn.CONCAT(I366,"|",J366),RiskValues!C:D,2,FALSE),"")</x:f>
      </x:c>
    </x:row>
    <x:row r="367">
      <x:c r="B367" s="25" t="str">
        <x:f>_xlfn.IFNA(VLOOKUP(A367,InfoSecThreats!A:B,2,FALSE),"")</x:f>
      </x:c>
      <x:c r="D367" s="25" t="str">
        <x:f>_xlfn.IFNA(VLOOKUP(Vulnerabilities!C367,Assets!A:C,2,FALSE),"")</x:f>
      </x:c>
      <x:c r="E367" s="25" t="str">
        <x:f>_xlfn.IFNA(VLOOKUP(Vulnerabilities!C367,Assets!A:C,3,FALSE),"")</x:f>
      </x:c>
      <x:c r="G367" s="26" t="str">
        <x:f t="shared" si="5"/>
      </x:c>
      <x:c r="K367" s="26" t="str">
        <x:f>_xlfn.IFNA(VLOOKUP(_xlfn.CONCAT(I367,"|",J367),RiskValues!C:D,2,FALSE),"")</x:f>
      </x:c>
    </x:row>
    <x:row r="368">
      <x:c r="B368" s="25" t="str">
        <x:f>_xlfn.IFNA(VLOOKUP(A368,InfoSecThreats!A:B,2,FALSE),"")</x:f>
      </x:c>
      <x:c r="D368" s="25" t="str">
        <x:f>_xlfn.IFNA(VLOOKUP(Vulnerabilities!C368,Assets!A:C,2,FALSE),"")</x:f>
      </x:c>
      <x:c r="E368" s="25" t="str">
        <x:f>_xlfn.IFNA(VLOOKUP(Vulnerabilities!C368,Assets!A:C,3,FALSE),"")</x:f>
      </x:c>
      <x:c r="G368" s="26" t="str">
        <x:f t="shared" si="5"/>
      </x:c>
      <x:c r="K368" s="26" t="str">
        <x:f>_xlfn.IFNA(VLOOKUP(_xlfn.CONCAT(I368,"|",J368),RiskValues!C:D,2,FALSE),"")</x:f>
      </x:c>
    </x:row>
    <x:row r="369">
      <x:c r="B369" s="25" t="str">
        <x:f>_xlfn.IFNA(VLOOKUP(A369,InfoSecThreats!A:B,2,FALSE),"")</x:f>
      </x:c>
      <x:c r="D369" s="25" t="str">
        <x:f>_xlfn.IFNA(VLOOKUP(Vulnerabilities!C369,Assets!A:C,2,FALSE),"")</x:f>
      </x:c>
      <x:c r="E369" s="25" t="str">
        <x:f>_xlfn.IFNA(VLOOKUP(Vulnerabilities!C369,Assets!A:C,3,FALSE),"")</x:f>
      </x:c>
      <x:c r="G369" s="26" t="str">
        <x:f t="shared" si="5"/>
      </x:c>
      <x:c r="K369" s="26" t="str">
        <x:f>_xlfn.IFNA(VLOOKUP(_xlfn.CONCAT(I369,"|",J369),RiskValues!C:D,2,FALSE),"")</x:f>
      </x:c>
    </x:row>
    <x:row r="370">
      <x:c r="B370" s="25" t="str">
        <x:f>_xlfn.IFNA(VLOOKUP(A370,InfoSecThreats!A:B,2,FALSE),"")</x:f>
      </x:c>
      <x:c r="D370" s="25" t="str">
        <x:f>_xlfn.IFNA(VLOOKUP(Vulnerabilities!C370,Assets!A:C,2,FALSE),"")</x:f>
      </x:c>
      <x:c r="E370" s="25" t="str">
        <x:f>_xlfn.IFNA(VLOOKUP(Vulnerabilities!C370,Assets!A:C,3,FALSE),"")</x:f>
      </x:c>
      <x:c r="G370" s="26" t="str">
        <x:f t="shared" si="5"/>
      </x:c>
      <x:c r="K370" s="26" t="str">
        <x:f>_xlfn.IFNA(VLOOKUP(_xlfn.CONCAT(I370,"|",J370),RiskValues!C:D,2,FALSE),"")</x:f>
      </x:c>
    </x:row>
    <x:row r="371">
      <x:c r="B371" s="25" t="str">
        <x:f>_xlfn.IFNA(VLOOKUP(A371,InfoSecThreats!A:B,2,FALSE),"")</x:f>
      </x:c>
      <x:c r="D371" s="25" t="str">
        <x:f>_xlfn.IFNA(VLOOKUP(Vulnerabilities!C371,Assets!A:C,2,FALSE),"")</x:f>
      </x:c>
      <x:c r="E371" s="25" t="str">
        <x:f>_xlfn.IFNA(VLOOKUP(Vulnerabilities!C371,Assets!A:C,3,FALSE),"")</x:f>
      </x:c>
      <x:c r="G371" s="26" t="str">
        <x:f t="shared" si="5"/>
      </x:c>
      <x:c r="K371" s="26" t="str">
        <x:f>_xlfn.IFNA(VLOOKUP(_xlfn.CONCAT(I371,"|",J371),RiskValues!C:D,2,FALSE),"")</x:f>
      </x:c>
    </x:row>
    <x:row r="372">
      <x:c r="B372" s="25" t="str">
        <x:f>_xlfn.IFNA(VLOOKUP(A372,InfoSecThreats!A:B,2,FALSE),"")</x:f>
      </x:c>
      <x:c r="D372" s="25" t="str">
        <x:f>_xlfn.IFNA(VLOOKUP(Vulnerabilities!C372,Assets!A:C,2,FALSE),"")</x:f>
      </x:c>
      <x:c r="E372" s="25" t="str">
        <x:f>_xlfn.IFNA(VLOOKUP(Vulnerabilities!C372,Assets!A:C,3,FALSE),"")</x:f>
      </x:c>
      <x:c r="G372" s="26" t="str">
        <x:f t="shared" si="5"/>
      </x:c>
      <x:c r="K372" s="26" t="str">
        <x:f>_xlfn.IFNA(VLOOKUP(_xlfn.CONCAT(I372,"|",J372),RiskValues!C:D,2,FALSE),"")</x:f>
      </x:c>
    </x:row>
    <x:row r="373">
      <x:c r="B373" s="25" t="str">
        <x:f>_xlfn.IFNA(VLOOKUP(A373,InfoSecThreats!A:B,2,FALSE),"")</x:f>
      </x:c>
      <x:c r="D373" s="25" t="str">
        <x:f>_xlfn.IFNA(VLOOKUP(Vulnerabilities!C373,Assets!A:C,2,FALSE),"")</x:f>
      </x:c>
      <x:c r="E373" s="25" t="str">
        <x:f>_xlfn.IFNA(VLOOKUP(Vulnerabilities!C373,Assets!A:C,3,FALSE),"")</x:f>
      </x:c>
      <x:c r="G373" s="26" t="str">
        <x:f t="shared" si="5"/>
      </x:c>
      <x:c r="K373" s="26" t="str">
        <x:f>_xlfn.IFNA(VLOOKUP(_xlfn.CONCAT(I373,"|",J373),RiskValues!C:D,2,FALSE),"")</x:f>
      </x:c>
    </x:row>
    <x:row r="374">
      <x:c r="B374" s="25" t="str">
        <x:f>_xlfn.IFNA(VLOOKUP(A374,InfoSecThreats!A:B,2,FALSE),"")</x:f>
      </x:c>
      <x:c r="D374" s="25" t="str">
        <x:f>_xlfn.IFNA(VLOOKUP(Vulnerabilities!C374,Assets!A:C,2,FALSE),"")</x:f>
      </x:c>
      <x:c r="E374" s="25" t="str">
        <x:f>_xlfn.IFNA(VLOOKUP(Vulnerabilities!C374,Assets!A:C,3,FALSE),"")</x:f>
      </x:c>
      <x:c r="G374" s="26" t="str">
        <x:f t="shared" si="5"/>
      </x:c>
      <x:c r="K374" s="26" t="str">
        <x:f>_xlfn.IFNA(VLOOKUP(_xlfn.CONCAT(I374,"|",J374),RiskValues!C:D,2,FALSE),"")</x:f>
      </x:c>
    </x:row>
    <x:row r="375">
      <x:c r="B375" s="25" t="str">
        <x:f>_xlfn.IFNA(VLOOKUP(A375,InfoSecThreats!A:B,2,FALSE),"")</x:f>
      </x:c>
      <x:c r="D375" s="25" t="str">
        <x:f>_xlfn.IFNA(VLOOKUP(Vulnerabilities!C375,Assets!A:C,2,FALSE),"")</x:f>
      </x:c>
      <x:c r="E375" s="25" t="str">
        <x:f>_xlfn.IFNA(VLOOKUP(Vulnerabilities!C375,Assets!A:C,3,FALSE),"")</x:f>
      </x:c>
      <x:c r="G375" s="26" t="str">
        <x:f t="shared" si="5"/>
      </x:c>
      <x:c r="K375" s="26" t="str">
        <x:f>_xlfn.IFNA(VLOOKUP(_xlfn.CONCAT(I375,"|",J375),RiskValues!C:D,2,FALSE),"")</x:f>
      </x:c>
    </x:row>
    <x:row r="376">
      <x:c r="B376" s="25" t="str">
        <x:f>_xlfn.IFNA(VLOOKUP(A376,InfoSecThreats!A:B,2,FALSE),"")</x:f>
      </x:c>
      <x:c r="D376" s="25" t="str">
        <x:f>_xlfn.IFNA(VLOOKUP(Vulnerabilities!C376,Assets!A:C,2,FALSE),"")</x:f>
      </x:c>
      <x:c r="E376" s="25" t="str">
        <x:f>_xlfn.IFNA(VLOOKUP(Vulnerabilities!C376,Assets!A:C,3,FALSE),"")</x:f>
      </x:c>
      <x:c r="G376" s="26" t="str">
        <x:f t="shared" si="5"/>
      </x:c>
      <x:c r="K376" s="26" t="str">
        <x:f>_xlfn.IFNA(VLOOKUP(_xlfn.CONCAT(I376,"|",J376),RiskValues!C:D,2,FALSE),"")</x:f>
      </x:c>
    </x:row>
    <x:row r="377">
      <x:c r="B377" s="25" t="str">
        <x:f>_xlfn.IFNA(VLOOKUP(A377,InfoSecThreats!A:B,2,FALSE),"")</x:f>
      </x:c>
      <x:c r="D377" s="25" t="str">
        <x:f>_xlfn.IFNA(VLOOKUP(Vulnerabilities!C377,Assets!A:C,2,FALSE),"")</x:f>
      </x:c>
      <x:c r="E377" s="25" t="str">
        <x:f>_xlfn.IFNA(VLOOKUP(Vulnerabilities!C377,Assets!A:C,3,FALSE),"")</x:f>
      </x:c>
      <x:c r="G377" s="26" t="str">
        <x:f t="shared" si="5"/>
      </x:c>
      <x:c r="K377" s="26" t="str">
        <x:f>_xlfn.IFNA(VLOOKUP(_xlfn.CONCAT(I377,"|",J377),RiskValues!C:D,2,FALSE),"")</x:f>
      </x:c>
    </x:row>
    <x:row r="378">
      <x:c r="B378" s="25" t="str">
        <x:f>_xlfn.IFNA(VLOOKUP(A378,InfoSecThreats!A:B,2,FALSE),"")</x:f>
      </x:c>
      <x:c r="D378" s="25" t="str">
        <x:f>_xlfn.IFNA(VLOOKUP(Vulnerabilities!C378,Assets!A:C,2,FALSE),"")</x:f>
      </x:c>
      <x:c r="E378" s="25" t="str">
        <x:f>_xlfn.IFNA(VLOOKUP(Vulnerabilities!C378,Assets!A:C,3,FALSE),"")</x:f>
      </x:c>
      <x:c r="G378" s="26" t="str">
        <x:f t="shared" si="5"/>
      </x:c>
      <x:c r="K378" s="26" t="str">
        <x:f>_xlfn.IFNA(VLOOKUP(_xlfn.CONCAT(I378,"|",J378),RiskValues!C:D,2,FALSE),"")</x:f>
      </x:c>
    </x:row>
    <x:row r="379">
      <x:c r="B379" s="25" t="str">
        <x:f>_xlfn.IFNA(VLOOKUP(A379,InfoSecThreats!A:B,2,FALSE),"")</x:f>
      </x:c>
      <x:c r="D379" s="25" t="str">
        <x:f>_xlfn.IFNA(VLOOKUP(Vulnerabilities!C379,Assets!A:C,2,FALSE),"")</x:f>
      </x:c>
      <x:c r="E379" s="25" t="str">
        <x:f>_xlfn.IFNA(VLOOKUP(Vulnerabilities!C379,Assets!A:C,3,FALSE),"")</x:f>
      </x:c>
      <x:c r="G379" s="26" t="str">
        <x:f t="shared" si="5"/>
      </x:c>
      <x:c r="K379" s="26" t="str">
        <x:f>_xlfn.IFNA(VLOOKUP(_xlfn.CONCAT(I379,"|",J379),RiskValues!C:D,2,FALSE),"")</x:f>
      </x:c>
    </x:row>
    <x:row r="380">
      <x:c r="B380" s="25" t="str">
        <x:f>_xlfn.IFNA(VLOOKUP(A380,InfoSecThreats!A:B,2,FALSE),"")</x:f>
      </x:c>
      <x:c r="D380" s="25" t="str">
        <x:f>_xlfn.IFNA(VLOOKUP(Vulnerabilities!C380,Assets!A:C,2,FALSE),"")</x:f>
      </x:c>
      <x:c r="E380" s="25" t="str">
        <x:f>_xlfn.IFNA(VLOOKUP(Vulnerabilities!C380,Assets!A:C,3,FALSE),"")</x:f>
      </x:c>
      <x:c r="G380" s="26" t="str">
        <x:f t="shared" si="5"/>
      </x:c>
      <x:c r="K380" s="26" t="str">
        <x:f>_xlfn.IFNA(VLOOKUP(_xlfn.CONCAT(I380,"|",J380),RiskValues!C:D,2,FALSE),"")</x:f>
      </x:c>
    </x:row>
    <x:row r="381">
      <x:c r="B381" s="25" t="str">
        <x:f>_xlfn.IFNA(VLOOKUP(A381,InfoSecThreats!A:B,2,FALSE),"")</x:f>
      </x:c>
      <x:c r="D381" s="25" t="str">
        <x:f>_xlfn.IFNA(VLOOKUP(Vulnerabilities!C381,Assets!A:C,2,FALSE),"")</x:f>
      </x:c>
      <x:c r="E381" s="25" t="str">
        <x:f>_xlfn.IFNA(VLOOKUP(Vulnerabilities!C381,Assets!A:C,3,FALSE),"")</x:f>
      </x:c>
      <x:c r="G381" s="26" t="str">
        <x:f t="shared" si="5"/>
      </x:c>
      <x:c r="K381" s="26" t="str">
        <x:f>_xlfn.IFNA(VLOOKUP(_xlfn.CONCAT(I381,"|",J381),RiskValues!C:D,2,FALSE),"")</x:f>
      </x:c>
    </x:row>
    <x:row r="382">
      <x:c r="B382" s="25" t="str">
        <x:f>_xlfn.IFNA(VLOOKUP(A382,InfoSecThreats!A:B,2,FALSE),"")</x:f>
      </x:c>
      <x:c r="D382" s="25" t="str">
        <x:f>_xlfn.IFNA(VLOOKUP(Vulnerabilities!C382,Assets!A:C,2,FALSE),"")</x:f>
      </x:c>
      <x:c r="E382" s="25" t="str">
        <x:f>_xlfn.IFNA(VLOOKUP(Vulnerabilities!C382,Assets!A:C,3,FALSE),"")</x:f>
      </x:c>
      <x:c r="G382" s="26" t="str">
        <x:f t="shared" si="5"/>
      </x:c>
      <x:c r="K382" s="26" t="str">
        <x:f>_xlfn.IFNA(VLOOKUP(_xlfn.CONCAT(I382,"|",J382),RiskValues!C:D,2,FALSE),"")</x:f>
      </x:c>
    </x:row>
    <x:row r="383">
      <x:c r="B383" s="25" t="str">
        <x:f>_xlfn.IFNA(VLOOKUP(A383,InfoSecThreats!A:B,2,FALSE),"")</x:f>
      </x:c>
      <x:c r="D383" s="25" t="str">
        <x:f>_xlfn.IFNA(VLOOKUP(Vulnerabilities!C383,Assets!A:C,2,FALSE),"")</x:f>
      </x:c>
      <x:c r="E383" s="25" t="str">
        <x:f>_xlfn.IFNA(VLOOKUP(Vulnerabilities!C383,Assets!A:C,3,FALSE),"")</x:f>
      </x:c>
      <x:c r="G383" s="26" t="str">
        <x:f t="shared" si="5"/>
      </x:c>
      <x:c r="K383" s="26" t="str">
        <x:f>_xlfn.IFNA(VLOOKUP(_xlfn.CONCAT(I383,"|",J383),RiskValues!C:D,2,FALSE),"")</x:f>
      </x:c>
    </x:row>
    <x:row r="384">
      <x:c r="B384" s="25" t="str">
        <x:f>_xlfn.IFNA(VLOOKUP(A384,InfoSecThreats!A:B,2,FALSE),"")</x:f>
      </x:c>
      <x:c r="D384" s="25" t="str">
        <x:f>_xlfn.IFNA(VLOOKUP(Vulnerabilities!C384,Assets!A:C,2,FALSE),"")</x:f>
      </x:c>
      <x:c r="E384" s="25" t="str">
        <x:f>_xlfn.IFNA(VLOOKUP(Vulnerabilities!C384,Assets!A:C,3,FALSE),"")</x:f>
      </x:c>
      <x:c r="G384" s="26" t="str">
        <x:f t="shared" si="5"/>
      </x:c>
      <x:c r="K384" s="26" t="str">
        <x:f>_xlfn.IFNA(VLOOKUP(_xlfn.CONCAT(I384,"|",J384),RiskValues!C:D,2,FALSE),"")</x:f>
      </x:c>
    </x:row>
    <x:row r="385">
      <x:c r="B385" s="25" t="str">
        <x:f>_xlfn.IFNA(VLOOKUP(A385,InfoSecThreats!A:B,2,FALSE),"")</x:f>
      </x:c>
      <x:c r="D385" s="25" t="str">
        <x:f>_xlfn.IFNA(VLOOKUP(Vulnerabilities!C385,Assets!A:C,2,FALSE),"")</x:f>
      </x:c>
      <x:c r="E385" s="25" t="str">
        <x:f>_xlfn.IFNA(VLOOKUP(Vulnerabilities!C385,Assets!A:C,3,FALSE),"")</x:f>
      </x:c>
      <x:c r="G385" s="26" t="str">
        <x:f t="shared" si="5"/>
      </x:c>
      <x:c r="K385" s="26" t="str">
        <x:f>_xlfn.IFNA(VLOOKUP(_xlfn.CONCAT(I385,"|",J385),RiskValues!C:D,2,FALSE),"")</x:f>
      </x:c>
    </x:row>
    <x:row r="386">
      <x:c r="B386" s="25" t="str">
        <x:f>_xlfn.IFNA(VLOOKUP(A386,InfoSecThreats!A:B,2,FALSE),"")</x:f>
      </x:c>
      <x:c r="D386" s="25" t="str">
        <x:f>_xlfn.IFNA(VLOOKUP(Vulnerabilities!C386,Assets!A:C,2,FALSE),"")</x:f>
      </x:c>
      <x:c r="E386" s="25" t="str">
        <x:f>_xlfn.IFNA(VLOOKUP(Vulnerabilities!C386,Assets!A:C,3,FALSE),"")</x:f>
      </x:c>
      <x:c r="G386" s="26" t="str">
        <x:f t="shared" si="5"/>
      </x:c>
      <x:c r="K386" s="26" t="str">
        <x:f>_xlfn.IFNA(VLOOKUP(_xlfn.CONCAT(I386,"|",J386),RiskValues!C:D,2,FALSE),"")</x:f>
      </x:c>
    </x:row>
    <x:row r="387">
      <x:c r="B387" s="25" t="str">
        <x:f>_xlfn.IFNA(VLOOKUP(A387,InfoSecThreats!A:B,2,FALSE),"")</x:f>
      </x:c>
      <x:c r="D387" s="25" t="str">
        <x:f>_xlfn.IFNA(VLOOKUP(Vulnerabilities!C387,Assets!A:C,2,FALSE),"")</x:f>
      </x:c>
      <x:c r="E387" s="25" t="str">
        <x:f>_xlfn.IFNA(VLOOKUP(Vulnerabilities!C387,Assets!A:C,3,FALSE),"")</x:f>
      </x:c>
      <x:c r="G387" s="26" t="str">
        <x:f t="shared" ref="G387:G401" si="6">IF(ISBLANK(F387),"",_xlfn.CONCAT("T",A387,"V",F387,"A",C387))</x:f>
      </x:c>
      <x:c r="K387" s="26" t="str">
        <x:f>_xlfn.IFNA(VLOOKUP(_xlfn.CONCAT(I387,"|",J387),RiskValues!C:D,2,FALSE),"")</x:f>
      </x:c>
    </x:row>
    <x:row r="388">
      <x:c r="B388" s="25" t="str">
        <x:f>_xlfn.IFNA(VLOOKUP(A388,InfoSecThreats!A:B,2,FALSE),"")</x:f>
      </x:c>
      <x:c r="D388" s="25" t="str">
        <x:f>_xlfn.IFNA(VLOOKUP(Vulnerabilities!C388,Assets!A:C,2,FALSE),"")</x:f>
      </x:c>
      <x:c r="E388" s="25" t="str">
        <x:f>_xlfn.IFNA(VLOOKUP(Vulnerabilities!C388,Assets!A:C,3,FALSE),"")</x:f>
      </x:c>
      <x:c r="G388" s="26" t="str">
        <x:f t="shared" si="6"/>
      </x:c>
      <x:c r="K388" s="26" t="str">
        <x:f>_xlfn.IFNA(VLOOKUP(_xlfn.CONCAT(I388,"|",J388),RiskValues!C:D,2,FALSE),"")</x:f>
      </x:c>
    </x:row>
    <x:row r="389">
      <x:c r="B389" s="25" t="str">
        <x:f>_xlfn.IFNA(VLOOKUP(A389,InfoSecThreats!A:B,2,FALSE),"")</x:f>
      </x:c>
      <x:c r="D389" s="25" t="str">
        <x:f>_xlfn.IFNA(VLOOKUP(Vulnerabilities!C389,Assets!A:C,2,FALSE),"")</x:f>
      </x:c>
      <x:c r="E389" s="25" t="str">
        <x:f>_xlfn.IFNA(VLOOKUP(Vulnerabilities!C389,Assets!A:C,3,FALSE),"")</x:f>
      </x:c>
      <x:c r="G389" s="26" t="str">
        <x:f t="shared" si="6"/>
      </x:c>
      <x:c r="K389" s="26" t="str">
        <x:f>_xlfn.IFNA(VLOOKUP(_xlfn.CONCAT(I389,"|",J389),RiskValues!C:D,2,FALSE),"")</x:f>
      </x:c>
    </x:row>
    <x:row r="390">
      <x:c r="B390" s="25" t="str">
        <x:f>_xlfn.IFNA(VLOOKUP(A390,InfoSecThreats!A:B,2,FALSE),"")</x:f>
      </x:c>
      <x:c r="D390" s="25" t="str">
        <x:f>_xlfn.IFNA(VLOOKUP(Vulnerabilities!C390,Assets!A:C,2,FALSE),"")</x:f>
      </x:c>
      <x:c r="E390" s="25" t="str">
        <x:f>_xlfn.IFNA(VLOOKUP(Vulnerabilities!C390,Assets!A:C,3,FALSE),"")</x:f>
      </x:c>
      <x:c r="G390" s="26" t="str">
        <x:f t="shared" si="6"/>
      </x:c>
      <x:c r="K390" s="26" t="str">
        <x:f>_xlfn.IFNA(VLOOKUP(_xlfn.CONCAT(I390,"|",J390),RiskValues!C:D,2,FALSE),"")</x:f>
      </x:c>
    </x:row>
    <x:row r="391">
      <x:c r="B391" s="25" t="str">
        <x:f>_xlfn.IFNA(VLOOKUP(A391,InfoSecThreats!A:B,2,FALSE),"")</x:f>
      </x:c>
      <x:c r="D391" s="25" t="str">
        <x:f>_xlfn.IFNA(VLOOKUP(Vulnerabilities!C391,Assets!A:C,2,FALSE),"")</x:f>
      </x:c>
      <x:c r="E391" s="25" t="str">
        <x:f>_xlfn.IFNA(VLOOKUP(Vulnerabilities!C391,Assets!A:C,3,FALSE),"")</x:f>
      </x:c>
      <x:c r="G391" s="26" t="str">
        <x:f t="shared" si="6"/>
      </x:c>
      <x:c r="K391" s="26" t="str">
        <x:f>_xlfn.IFNA(VLOOKUP(_xlfn.CONCAT(I391,"|",J391),RiskValues!C:D,2,FALSE),"")</x:f>
      </x:c>
    </x:row>
    <x:row r="392">
      <x:c r="B392" s="25" t="str">
        <x:f>_xlfn.IFNA(VLOOKUP(A392,InfoSecThreats!A:B,2,FALSE),"")</x:f>
      </x:c>
      <x:c r="D392" s="25" t="str">
        <x:f>_xlfn.IFNA(VLOOKUP(Vulnerabilities!C392,Assets!A:C,2,FALSE),"")</x:f>
      </x:c>
      <x:c r="E392" s="25" t="str">
        <x:f>_xlfn.IFNA(VLOOKUP(Vulnerabilities!C392,Assets!A:C,3,FALSE),"")</x:f>
      </x:c>
      <x:c r="G392" s="26" t="str">
        <x:f t="shared" si="6"/>
      </x:c>
      <x:c r="K392" s="26" t="str">
        <x:f>_xlfn.IFNA(VLOOKUP(_xlfn.CONCAT(I392,"|",J392),RiskValues!C:D,2,FALSE),"")</x:f>
      </x:c>
    </x:row>
    <x:row r="393">
      <x:c r="B393" s="25" t="str">
        <x:f>_xlfn.IFNA(VLOOKUP(A393,InfoSecThreats!A:B,2,FALSE),"")</x:f>
      </x:c>
      <x:c r="D393" s="25" t="str">
        <x:f>_xlfn.IFNA(VLOOKUP(Vulnerabilities!C393,Assets!A:C,2,FALSE),"")</x:f>
      </x:c>
      <x:c r="E393" s="25" t="str">
        <x:f>_xlfn.IFNA(VLOOKUP(Vulnerabilities!C393,Assets!A:C,3,FALSE),"")</x:f>
      </x:c>
      <x:c r="G393" s="26" t="str">
        <x:f t="shared" si="6"/>
      </x:c>
      <x:c r="K393" s="26" t="str">
        <x:f>_xlfn.IFNA(VLOOKUP(_xlfn.CONCAT(I393,"|",J393),RiskValues!C:D,2,FALSE),"")</x:f>
      </x:c>
    </x:row>
    <x:row r="394">
      <x:c r="B394" s="25" t="str">
        <x:f>_xlfn.IFNA(VLOOKUP(A394,InfoSecThreats!A:B,2,FALSE),"")</x:f>
      </x:c>
      <x:c r="D394" s="25" t="str">
        <x:f>_xlfn.IFNA(VLOOKUP(Vulnerabilities!C394,Assets!A:C,2,FALSE),"")</x:f>
      </x:c>
      <x:c r="E394" s="25" t="str">
        <x:f>_xlfn.IFNA(VLOOKUP(Vulnerabilities!C394,Assets!A:C,3,FALSE),"")</x:f>
      </x:c>
      <x:c r="G394" s="26" t="str">
        <x:f t="shared" si="6"/>
      </x:c>
      <x:c r="K394" s="26" t="str">
        <x:f>_xlfn.IFNA(VLOOKUP(_xlfn.CONCAT(I394,"|",J394),RiskValues!C:D,2,FALSE),"")</x:f>
      </x:c>
    </x:row>
    <x:row r="395">
      <x:c r="B395" s="25" t="str">
        <x:f>_xlfn.IFNA(VLOOKUP(A395,InfoSecThreats!A:B,2,FALSE),"")</x:f>
      </x:c>
      <x:c r="D395" s="25" t="str">
        <x:f>_xlfn.IFNA(VLOOKUP(Vulnerabilities!C395,Assets!A:C,2,FALSE),"")</x:f>
      </x:c>
      <x:c r="E395" s="25" t="str">
        <x:f>_xlfn.IFNA(VLOOKUP(Vulnerabilities!C395,Assets!A:C,3,FALSE),"")</x:f>
      </x:c>
      <x:c r="G395" s="26" t="str">
        <x:f t="shared" si="6"/>
      </x:c>
      <x:c r="K395" s="26" t="str">
        <x:f>_xlfn.IFNA(VLOOKUP(_xlfn.CONCAT(I395,"|",J395),RiskValues!C:D,2,FALSE),"")</x:f>
      </x:c>
    </x:row>
    <x:row r="396">
      <x:c r="B396" s="25" t="str">
        <x:f>_xlfn.IFNA(VLOOKUP(A396,InfoSecThreats!A:B,2,FALSE),"")</x:f>
      </x:c>
      <x:c r="D396" s="25" t="str">
        <x:f>_xlfn.IFNA(VLOOKUP(Vulnerabilities!C396,Assets!A:C,2,FALSE),"")</x:f>
      </x:c>
      <x:c r="E396" s="25" t="str">
        <x:f>_xlfn.IFNA(VLOOKUP(Vulnerabilities!C396,Assets!A:C,3,FALSE),"")</x:f>
      </x:c>
      <x:c r="G396" s="26" t="str">
        <x:f t="shared" si="6"/>
      </x:c>
      <x:c r="K396" s="26" t="str">
        <x:f>_xlfn.IFNA(VLOOKUP(_xlfn.CONCAT(I396,"|",J396),RiskValues!C:D,2,FALSE),"")</x:f>
      </x:c>
    </x:row>
    <x:row r="397">
      <x:c r="B397" s="25" t="str">
        <x:f>_xlfn.IFNA(VLOOKUP(A397,InfoSecThreats!A:B,2,FALSE),"")</x:f>
      </x:c>
      <x:c r="D397" s="25" t="str">
        <x:f>_xlfn.IFNA(VLOOKUP(Vulnerabilities!C397,Assets!A:C,2,FALSE),"")</x:f>
      </x:c>
      <x:c r="E397" s="25" t="str">
        <x:f>_xlfn.IFNA(VLOOKUP(Vulnerabilities!C397,Assets!A:C,3,FALSE),"")</x:f>
      </x:c>
      <x:c r="G397" s="26" t="str">
        <x:f t="shared" si="6"/>
      </x:c>
      <x:c r="K397" s="26" t="str">
        <x:f>_xlfn.IFNA(VLOOKUP(_xlfn.CONCAT(I397,"|",J397),RiskValues!C:D,2,FALSE),"")</x:f>
      </x:c>
    </x:row>
    <x:row r="398">
      <x:c r="B398" s="25" t="str">
        <x:f>_xlfn.IFNA(VLOOKUP(A398,InfoSecThreats!A:B,2,FALSE),"")</x:f>
      </x:c>
      <x:c r="D398" s="25" t="str">
        <x:f>_xlfn.IFNA(VLOOKUP(Vulnerabilities!C398,Assets!A:C,2,FALSE),"")</x:f>
      </x:c>
      <x:c r="E398" s="25" t="str">
        <x:f>_xlfn.IFNA(VLOOKUP(Vulnerabilities!C398,Assets!A:C,3,FALSE),"")</x:f>
      </x:c>
      <x:c r="G398" s="26" t="str">
        <x:f t="shared" si="6"/>
      </x:c>
      <x:c r="K398" s="26" t="str">
        <x:f>_xlfn.IFNA(VLOOKUP(_xlfn.CONCAT(I398,"|",J398),RiskValues!C:D,2,FALSE),"")</x:f>
      </x:c>
    </x:row>
    <x:row r="399">
      <x:c r="B399" s="25" t="str">
        <x:f>_xlfn.IFNA(VLOOKUP(A399,InfoSecThreats!A:B,2,FALSE),"")</x:f>
      </x:c>
      <x:c r="D399" s="25" t="str">
        <x:f>_xlfn.IFNA(VLOOKUP(Vulnerabilities!C399,Assets!A:C,2,FALSE),"")</x:f>
      </x:c>
      <x:c r="E399" s="25" t="str">
        <x:f>_xlfn.IFNA(VLOOKUP(Vulnerabilities!C399,Assets!A:C,3,FALSE),"")</x:f>
      </x:c>
      <x:c r="G399" s="26" t="str">
        <x:f t="shared" si="6"/>
      </x:c>
      <x:c r="K399" s="26" t="str">
        <x:f>_xlfn.IFNA(VLOOKUP(_xlfn.CONCAT(I399,"|",J399),RiskValues!C:D,2,FALSE),"")</x:f>
      </x:c>
    </x:row>
    <x:row r="400">
      <x:c r="B400" s="25" t="str">
        <x:f>_xlfn.IFNA(VLOOKUP(A400,InfoSecThreats!A:B,2,FALSE),"")</x:f>
      </x:c>
      <x:c r="D400" s="25" t="str">
        <x:f>_xlfn.IFNA(VLOOKUP(Vulnerabilities!C400,Assets!A:C,2,FALSE),"")</x:f>
      </x:c>
      <x:c r="E400" s="25" t="str">
        <x:f>_xlfn.IFNA(VLOOKUP(Vulnerabilities!C400,Assets!A:C,3,FALSE),"")</x:f>
      </x:c>
      <x:c r="G400" s="26" t="str">
        <x:f t="shared" si="6"/>
      </x:c>
      <x:c r="K400" s="26" t="str">
        <x:f>_xlfn.IFNA(VLOOKUP(_xlfn.CONCAT(I400,"|",J400),RiskValues!C:D,2,FALSE),"")</x:f>
      </x:c>
    </x:row>
    <x:row r="401">
      <x:c r="B401" s="25" t="str">
        <x:f>_xlfn.IFNA(VLOOKUP(A401,InfoSecThreats!A:B,2,FALSE),"")</x:f>
      </x:c>
      <x:c r="D401" s="25" t="str">
        <x:f>_xlfn.IFNA(VLOOKUP(Vulnerabilities!C401,Assets!A:C,2,FALSE),"")</x:f>
      </x:c>
      <x:c r="E401" s="25" t="str">
        <x:f>_xlfn.IFNA(VLOOKUP(Vulnerabilities!C401,Assets!A:C,3,FALSE),"")</x:f>
      </x:c>
      <x:c r="G401" s="26" t="str">
        <x:f t="shared" si="6"/>
      </x:c>
      <x:c r="K401" s="26" t="str">
        <x:f>_xlfn.IFNA(VLOOKUP(_xlfn.CONCAT(I401,"|",J401),RiskValues!C:D,2,FALSE),"")</x:f>
      </x:c>
    </x:row>
  </x:sheetData>
  <x:pageMargins left="0.7" right="0.7" top="0.75" bottom="0.75" header="0.3" footer="0.3"/>
</x:worksheet>
</file>

<file path=xl/worksheets/sheet4.xml><?xml version="1.0" encoding="utf-8"?>
<x:worksheet xmlns:x="http://schemas.openxmlformats.org/spreadsheetml/2006/main">
  <x:sheetFormatPr defaultRowHeight="15"/>
  <x:sheetData>
    <x:row r="1" ht="26.25">
      <x:c r="A1" s="6" t="s">
        <x:v>16</x:v>
      </x:c>
    </x:row>
    <x:row r="2">
      <x:c r="A2" t="s">
        <x:v>17</x:v>
      </x:c>
    </x:row>
    <x:row r="3">
      <x:c r="A3" t="s">
        <x:v>18</x:v>
      </x:c>
    </x:row>
    <x:row r="4">
      <x:c r="A4" t="s">
        <x:v>19</x:v>
      </x:c>
    </x:row>
    <x:row r="6">
      <x:c r="A6" t="s">
        <x:v>20</x:v>
      </x:c>
      <x:c r="C6" t="s">
        <x:v>21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1.42578125" style="1" customWidth="1"/>
    <x:col min="2" max="2" width="13.28515625" customWidth="1"/>
    <x:col min="3" max="3" width="20.7109375" customWidth="1"/>
    <x:col min="4" max="4" width="13" style="1" customWidth="1"/>
    <x:col min="5" max="16" width="10.7109375" style="1" customWidth="1"/>
  </x:cols>
  <x:sheetData>
    <x:row r="1">
      <x:c r="A1" s="7" t="s">
        <x:v>4</x:v>
      </x:c>
      <x:c r="B1" s="8" t="s">
        <x:v>5</x:v>
      </x:c>
      <x:c r="C1" s="8" t="s">
        <x:v>6</x:v>
      </x:c>
      <x:c r="D1" s="13" t="s">
        <x:v>9</x:v>
      </x:c>
      <x:c r="E1" s="18">
        <x:v>1</x:v>
      </x:c>
      <x:c r="F1" s="18">
        <x:v>2</x:v>
      </x:c>
      <x:c r="G1" s="18">
        <x:v>3</x:v>
      </x:c>
      <x:c r="H1" s="18">
        <x:v>4</x:v>
      </x:c>
      <x:c r="I1" s="18">
        <x:v>5</x:v>
      </x:c>
      <x:c r="J1" s="18">
        <x:v>6</x:v>
      </x:c>
      <x:c r="K1" s="18">
        <x:v>7</x:v>
      </x:c>
      <x:c r="L1" s="18">
        <x:v>8</x:v>
      </x:c>
      <x:c r="M1" s="18">
        <x:v>9</x:v>
      </x:c>
      <x:c r="N1" s="18">
        <x:v>10</x:v>
      </x:c>
      <x:c r="O1" s="18">
        <x:v>11</x:v>
      </x:c>
      <x:c r="P1" s="13">
        <x:v>12</x:v>
      </x:c>
    </x:row>
    <x:row r="2" ht="60" customHeight="1">
      <x:c r="A2" s="9"/>
      <x:c r="B2" s="10"/>
      <x:c r="C2" s="10"/>
      <x:c r="D2" s="15"/>
      <x:c r="E2" s="19" t="str">
        <x:f>VLOOKUP(E1,InfoSecThreats!$A:$B,2,FALSE)</x:f>
        <x:v>People errors</x:v>
      </x:c>
      <x:c r="F2" s="19" t="str">
        <x:f>VLOOKUP(F1,InfoSecThreats!$A:$B,2,FALSE)</x:f>
        <x:v>Software attacks</x:v>
      </x:c>
      <x:c r="G2" s="19" t="str">
        <x:f>VLOOKUP(G1,InfoSecThreats!$A:$B,2,FALSE)</x:f>
        <x:v>Information extortion</x:v>
      </x:c>
      <x:c r="H2" s="19" t="str">
        <x:f>VLOOKUP(H1,InfoSecThreats!$A:$B,2,FALSE)</x:f>
        <x:v>Espionage and trespass</x:v>
      </x:c>
      <x:c r="I2" s="19" t="str">
        <x:f>VLOOKUP(I1,InfoSecThreats!$A:$B,2,FALSE)</x:f>
        <x:v>Theft</x:v>
      </x:c>
      <x:c r="J2" s="22" t="str">
        <x:f>VLOOKUP(J1,InfoSecThreats!$A:$B,2,FALSE)</x:f>
        <x:v>Technological obsolescence</x:v>
      </x:c>
      <x:c r="K2" s="19" t="str">
        <x:f>VLOOKUP(K1,InfoSecThreats!$A:$B,2,FALSE)</x:f>
        <x:v>Forces of nature</x:v>
      </x:c>
      <x:c r="L2" s="19" t="str">
        <x:f>VLOOKUP(L1,InfoSecThreats!$A:$B,2,FALSE)</x:f>
        <x:v>Technical hardware failures or errors</x:v>
      </x:c>
      <x:c r="M2" s="19" t="str">
        <x:f>VLOOKUP(M1,InfoSecThreats!$A:$B,2,FALSE)</x:f>
        <x:v>Technical software failures or errors</x:v>
      </x:c>
      <x:c r="N2" s="19" t="str">
        <x:f>VLOOKUP(N1,InfoSecThreats!$A:$B,2,FALSE)</x:f>
        <x:v>Changing quality of services</x:v>
      </x:c>
      <x:c r="O2" s="19" t="str">
        <x:f>VLOOKUP(O1,InfoSecThreats!$A:$B,2,FALSE)</x:f>
        <x:v>Sabotage and vandalism</x:v>
      </x:c>
      <x:c r="P2" s="14" t="str">
        <x:f>VLOOKUP(P1,InfoSecThreats!$A:$B,2,FALSE)</x:f>
        <x:v>IP compromises</x:v>
      </x:c>
    </x:row>
    <x:row r="3">
      <x:c r="A3" s="1">
        <x:v>1</x:v>
      </x:c>
      <x:c r="B3" t="str">
        <x:f>IF(VLOOKUP($A3,Assets!$A:$C,2,FALSE)=0,"",VLOOKUP($A3,Assets!$A:$C,2,FALSE))</x:f>
      </x:c>
      <x:c r="C3" t="str">
        <x:f>IF(VLOOKUP($A3,Assets!$A:$C,3,FALSE)=0,"",VLOOKUP($A3,Assets!$A:$C,3,FALSE))</x:f>
      </x:c>
      <x:c r="D3" s="16">
        <x:v>1</x:v>
      </x:c>
      <x:c r="E3" s="20" t="str">
        <x:f>_xlfn.IFNA(VLOOKUP(_xlfn.CONCAT("T",E$1,"V",$D3,"A",$A3),Vulnerabilities!$G:$G,1,FALSE),"")</x:f>
      </x:c>
      <x:c r="F3" s="20" t="str">
        <x:f>_xlfn.IFNA(VLOOKUP(_xlfn.CONCAT("T",F$1,"V",$D3,"A",$A3),Vulnerabilities!$G:$G,1,FALSE),"")</x:f>
      </x:c>
      <x:c r="G3" s="20" t="str">
        <x:f>_xlfn.IFNA(VLOOKUP(_xlfn.CONCAT("T",G$1,"V",$D3,"A",$A3),Vulnerabilities!$G:$G,1,FALSE),"")</x:f>
        <x:v>t3v1a1</x:v>
      </x:c>
      <x:c r="H3" s="20" t="str">
        <x:f>_xlfn.IFNA(VLOOKUP(_xlfn.CONCAT("T",H$1,"V",$D3,"A",$A3),Vulnerabilities!$G:$G,1,FALSE),"")</x:f>
      </x:c>
      <x:c r="I3" s="20" t="str">
        <x:f>_xlfn.IFNA(VLOOKUP(_xlfn.CONCAT("T",I$1,"V",$D3,"A",$A3),Vulnerabilities!$G:$G,1,FALSE),"")</x:f>
      </x:c>
      <x:c r="J3" s="20" t="str">
        <x:f>_xlfn.IFNA(VLOOKUP(_xlfn.CONCAT("T",J$1,"V",$D3,"A",$A3),Vulnerabilities!$G:$G,1,FALSE),"")</x:f>
      </x:c>
      <x:c r="K3" s="20" t="str">
        <x:f>_xlfn.IFNA(VLOOKUP(_xlfn.CONCAT("T",K$1,"V",$D3,"A",$A3),Vulnerabilities!$G:$G,1,FALSE),"")</x:f>
      </x:c>
      <x:c r="L3" s="20" t="str">
        <x:f>_xlfn.IFNA(VLOOKUP(_xlfn.CONCAT("T",L$1,"V",$D3,"A",$A3),Vulnerabilities!$G:$G,1,FALSE),"")</x:f>
      </x:c>
      <x:c r="M3" s="20" t="str">
        <x:f>_xlfn.IFNA(VLOOKUP(_xlfn.CONCAT("T",M$1,"V",$D3,"A",$A3),Vulnerabilities!$G:$G,1,FALSE),"")</x:f>
      </x:c>
      <x:c r="N3" s="20" t="str">
        <x:f>_xlfn.IFNA(VLOOKUP(_xlfn.CONCAT("T",N$1,"V",$D3,"A",$A3),Vulnerabilities!$G:$G,1,FALSE),"")</x:f>
      </x:c>
      <x:c r="O3" s="20" t="str">
        <x:f>_xlfn.IFNA(VLOOKUP(_xlfn.CONCAT("T",O$1,"V",$D3,"A",$A3),Vulnerabilities!$G:$G,1,FALSE),"")</x:f>
      </x:c>
      <x:c r="P3" s="16" t="str">
        <x:f>_xlfn.IFNA(VLOOKUP(_xlfn.CONCAT("T",P$1,"V",$D3,"A",$A3),Vulnerabilities!$G:$G,1,FALSE),"")</x:f>
      </x:c>
    </x:row>
    <x:row r="4">
      <x:c r="A4" s="1">
        <x:v>1</x:v>
      </x:c>
      <x:c r="B4" t="str">
        <x:f>IF(VLOOKUP($A4,Assets!$A:$C,2,FALSE)=0,"",VLOOKUP($A4,Assets!$A:$C,2,FALSE))</x:f>
      </x:c>
      <x:c r="C4" t="str">
        <x:f>IF(VLOOKUP($A4,Assets!$A:$C,3,FALSE)=0,"",VLOOKUP($A4,Assets!$A:$C,3,FALSE))</x:f>
      </x:c>
      <x:c r="D4" s="16">
        <x:v>2</x:v>
      </x:c>
      <x:c r="E4" s="20" t="str">
        <x:f>_xlfn.IFNA(VLOOKUP(_xlfn.CONCAT("T",E$1,"V",$D4,"A",$A4),Vulnerabilities!$G:$G,1,FALSE),"")</x:f>
      </x:c>
      <x:c r="F4" s="20" t="str">
        <x:f>_xlfn.IFNA(VLOOKUP(_xlfn.CONCAT("T",F$1,"V",$D4,"A",$A4),Vulnerabilities!$G:$G,1,FALSE),"")</x:f>
        <x:v>t2v2a1</x:v>
      </x:c>
      <x:c r="G4" s="20" t="str">
        <x:f>_xlfn.IFNA(VLOOKUP(_xlfn.CONCAT("T",G$1,"V",$D4,"A",$A4),Vulnerabilities!$G:$G,1,FALSE),"")</x:f>
      </x:c>
      <x:c r="H4" s="20" t="str">
        <x:f>_xlfn.IFNA(VLOOKUP(_xlfn.CONCAT("T",H$1,"V",$D4,"A",$A4),Vulnerabilities!$G:$G,1,FALSE),"")</x:f>
      </x:c>
      <x:c r="I4" s="20" t="str">
        <x:f>_xlfn.IFNA(VLOOKUP(_xlfn.CONCAT("T",I$1,"V",$D4,"A",$A4),Vulnerabilities!$G:$G,1,FALSE),"")</x:f>
      </x:c>
      <x:c r="J4" s="20" t="str">
        <x:f>_xlfn.IFNA(VLOOKUP(_xlfn.CONCAT("T",J$1,"V",$D4,"A",$A4),Vulnerabilities!$G:$G,1,FALSE),"")</x:f>
      </x:c>
      <x:c r="K4" s="20" t="str">
        <x:f>_xlfn.IFNA(VLOOKUP(_xlfn.CONCAT("T",K$1,"V",$D4,"A",$A4),Vulnerabilities!$G:$G,1,FALSE),"")</x:f>
      </x:c>
      <x:c r="L4" s="20" t="str">
        <x:f>_xlfn.IFNA(VLOOKUP(_xlfn.CONCAT("T",L$1,"V",$D4,"A",$A4),Vulnerabilities!$G:$G,1,FALSE),"")</x:f>
      </x:c>
      <x:c r="M4" s="20" t="str">
        <x:f>_xlfn.IFNA(VLOOKUP(_xlfn.CONCAT("T",M$1,"V",$D4,"A",$A4),Vulnerabilities!$G:$G,1,FALSE),"")</x:f>
      </x:c>
      <x:c r="N4" s="20" t="str">
        <x:f>_xlfn.IFNA(VLOOKUP(_xlfn.CONCAT("T",N$1,"V",$D4,"A",$A4),Vulnerabilities!$G:$G,1,FALSE),"")</x:f>
      </x:c>
      <x:c r="O4" s="20" t="str">
        <x:f>_xlfn.IFNA(VLOOKUP(_xlfn.CONCAT("T",O$1,"V",$D4,"A",$A4),Vulnerabilities!$G:$G,1,FALSE),"")</x:f>
      </x:c>
      <x:c r="P4" s="16" t="str">
        <x:f>_xlfn.IFNA(VLOOKUP(_xlfn.CONCAT("T",P$1,"V",$D4,"A",$A4),Vulnerabilities!$G:$G,1,FALSE),"")</x:f>
      </x:c>
    </x:row>
    <x:row r="5">
      <x:c r="A5" s="1">
        <x:v>1</x:v>
      </x:c>
      <x:c r="B5" t="str">
        <x:f>IF(VLOOKUP($A5,Assets!$A:$C,2,FALSE)=0,"",VLOOKUP($A5,Assets!$A:$C,2,FALSE))</x:f>
      </x:c>
      <x:c r="C5" t="str">
        <x:f>IF(VLOOKUP($A5,Assets!$A:$C,3,FALSE)=0,"",VLOOKUP($A5,Assets!$A:$C,3,FALSE))</x:f>
      </x:c>
      <x:c r="D5" s="16">
        <x:v>3</x:v>
      </x:c>
      <x:c r="E5" s="20" t="str">
        <x:f>_xlfn.IFNA(VLOOKUP(_xlfn.CONCAT("T",E$1,"V",$D5,"A",$A5),Vulnerabilities!$G:$G,1,FALSE),"")</x:f>
      </x:c>
      <x:c r="F5" s="20" t="str">
        <x:f>_xlfn.IFNA(VLOOKUP(_xlfn.CONCAT("T",F$1,"V",$D5,"A",$A5),Vulnerabilities!$G:$G,1,FALSE),"")</x:f>
      </x:c>
      <x:c r="G5" s="20" t="str">
        <x:f>_xlfn.IFNA(VLOOKUP(_xlfn.CONCAT("T",G$1,"V",$D5,"A",$A5),Vulnerabilities!$G:$G,1,FALSE),"")</x:f>
      </x:c>
      <x:c r="H5" s="20" t="str">
        <x:f>_xlfn.IFNA(VLOOKUP(_xlfn.CONCAT("T",H$1,"V",$D5,"A",$A5),Vulnerabilities!$G:$G,1,FALSE),"")</x:f>
      </x:c>
      <x:c r="I5" s="20" t="str">
        <x:f>_xlfn.IFNA(VLOOKUP(_xlfn.CONCAT("T",I$1,"V",$D5,"A",$A5),Vulnerabilities!$G:$G,1,FALSE),"")</x:f>
      </x:c>
      <x:c r="J5" s="20" t="str">
        <x:f>_xlfn.IFNA(VLOOKUP(_xlfn.CONCAT("T",J$1,"V",$D5,"A",$A5),Vulnerabilities!$G:$G,1,FALSE),"")</x:f>
      </x:c>
      <x:c r="K5" s="20" t="str">
        <x:f>_xlfn.IFNA(VLOOKUP(_xlfn.CONCAT("T",K$1,"V",$D5,"A",$A5),Vulnerabilities!$G:$G,1,FALSE),"")</x:f>
      </x:c>
      <x:c r="L5" s="20" t="str">
        <x:f>_xlfn.IFNA(VLOOKUP(_xlfn.CONCAT("T",L$1,"V",$D5,"A",$A5),Vulnerabilities!$G:$G,1,FALSE),"")</x:f>
      </x:c>
      <x:c r="M5" s="20" t="str">
        <x:f>_xlfn.IFNA(VLOOKUP(_xlfn.CONCAT("T",M$1,"V",$D5,"A",$A5),Vulnerabilities!$G:$G,1,FALSE),"")</x:f>
      </x:c>
      <x:c r="N5" s="20" t="str">
        <x:f>_xlfn.IFNA(VLOOKUP(_xlfn.CONCAT("T",N$1,"V",$D5,"A",$A5),Vulnerabilities!$G:$G,1,FALSE),"")</x:f>
      </x:c>
      <x:c r="O5" s="20" t="str">
        <x:f>_xlfn.IFNA(VLOOKUP(_xlfn.CONCAT("T",O$1,"V",$D5,"A",$A5),Vulnerabilities!$G:$G,1,FALSE),"")</x:f>
      </x:c>
      <x:c r="P5" s="16" t="str">
        <x:f>_xlfn.IFNA(VLOOKUP(_xlfn.CONCAT("T",P$1,"V",$D5,"A",$A5),Vulnerabilities!$G:$G,1,FALSE),"")</x:f>
      </x:c>
    </x:row>
    <x:row r="6">
      <x:c r="A6" s="11">
        <x:v>1</x:v>
      </x:c>
      <x:c r="B6" s="12" t="str">
        <x:f>IF(VLOOKUP($A6,Assets!$A:$C,2,FALSE)=0,"",VLOOKUP($A6,Assets!$A:$C,2,FALSE))</x:f>
      </x:c>
      <x:c r="C6" s="12" t="str">
        <x:f>IF(VLOOKUP($A6,Assets!$A:$C,3,FALSE)=0,"",VLOOKUP($A6,Assets!$A:$C,3,FALSE))</x:f>
      </x:c>
      <x:c r="D6" s="17">
        <x:v>4</x:v>
      </x:c>
      <x:c r="E6" s="21" t="str">
        <x:f>_xlfn.IFNA(VLOOKUP(_xlfn.CONCAT("T",E$1,"V",$D6,"A",$A6),Vulnerabilities!$G:$G,1,FALSE),"")</x:f>
      </x:c>
      <x:c r="F6" s="21" t="str">
        <x:f>_xlfn.IFNA(VLOOKUP(_xlfn.CONCAT("T",F$1,"V",$D6,"A",$A6),Vulnerabilities!$G:$G,1,FALSE),"")</x:f>
      </x:c>
      <x:c r="G6" s="21" t="str">
        <x:f>_xlfn.IFNA(VLOOKUP(_xlfn.CONCAT("T",G$1,"V",$D6,"A",$A6),Vulnerabilities!$G:$G,1,FALSE),"")</x:f>
      </x:c>
      <x:c r="H6" s="21" t="str">
        <x:f>_xlfn.IFNA(VLOOKUP(_xlfn.CONCAT("T",H$1,"V",$D6,"A",$A6),Vulnerabilities!$G:$G,1,FALSE),"")</x:f>
      </x:c>
      <x:c r="I6" s="21" t="str">
        <x:f>_xlfn.IFNA(VLOOKUP(_xlfn.CONCAT("T",I$1,"V",$D6,"A",$A6),Vulnerabilities!$G:$G,1,FALSE),"")</x:f>
      </x:c>
      <x:c r="J6" s="21" t="str">
        <x:f>_xlfn.IFNA(VLOOKUP(_xlfn.CONCAT("T",J$1,"V",$D6,"A",$A6),Vulnerabilities!$G:$G,1,FALSE),"")</x:f>
      </x:c>
      <x:c r="K6" s="21" t="str">
        <x:f>_xlfn.IFNA(VLOOKUP(_xlfn.CONCAT("T",K$1,"V",$D6,"A",$A6),Vulnerabilities!$G:$G,1,FALSE),"")</x:f>
      </x:c>
      <x:c r="L6" s="21" t="str">
        <x:f>_xlfn.IFNA(VLOOKUP(_xlfn.CONCAT("T",L$1,"V",$D6,"A",$A6),Vulnerabilities!$G:$G,1,FALSE),"")</x:f>
      </x:c>
      <x:c r="M6" s="21" t="str">
        <x:f>_xlfn.IFNA(VLOOKUP(_xlfn.CONCAT("T",M$1,"V",$D6,"A",$A6),Vulnerabilities!$G:$G,1,FALSE),"")</x:f>
      </x:c>
      <x:c r="N6" s="21" t="str">
        <x:f>_xlfn.IFNA(VLOOKUP(_xlfn.CONCAT("T",N$1,"V",$D6,"A",$A6),Vulnerabilities!$G:$G,1,FALSE),"")</x:f>
      </x:c>
      <x:c r="O6" s="21" t="str">
        <x:f>_xlfn.IFNA(VLOOKUP(_xlfn.CONCAT("T",O$1,"V",$D6,"A",$A6),Vulnerabilities!$G:$G,1,FALSE),"")</x:f>
      </x:c>
      <x:c r="P6" s="17" t="str">
        <x:f>_xlfn.IFNA(VLOOKUP(_xlfn.CONCAT("T",P$1,"V",$D6,"A",$A6),Vulnerabilities!$G:$G,1,FALSE),"")</x:f>
      </x:c>
    </x:row>
    <x:row r="7">
      <x:c r="A7" s="1" t="n">
        <x:f t="shared" ref="A7:A26" si="0">A3+1</x:f>
        <x:v>2</x:v>
      </x:c>
      <x:c r="B7" t="str">
        <x:f>IF(VLOOKUP($A7,Assets!$A:$C,2,FALSE)=0,"",VLOOKUP($A7,Assets!$A:$C,2,FALSE))</x:f>
      </x:c>
      <x:c r="C7" t="str">
        <x:f>IF(VLOOKUP($A7,Assets!$A:$C,3,FALSE)=0,"",VLOOKUP($A7,Assets!$A:$C,3,FALSE))</x:f>
      </x:c>
      <x:c r="D7" s="16">
        <x:v>1</x:v>
      </x:c>
      <x:c r="E7" s="20" t="str">
        <x:f>_xlfn.IFNA(VLOOKUP(_xlfn.CONCAT("T",E$1,"V",$D7,"A",$A7),Vulnerabilities!$G:$G,1,FALSE),"")</x:f>
        <x:v>t1v1a2</x:v>
      </x:c>
      <x:c r="F7" s="20" t="str">
        <x:f>_xlfn.IFNA(VLOOKUP(_xlfn.CONCAT("T",F$1,"V",$D7,"A",$A7),Vulnerabilities!$G:$G,1,FALSE),"")</x:f>
      </x:c>
      <x:c r="G7" s="20" t="str">
        <x:f>_xlfn.IFNA(VLOOKUP(_xlfn.CONCAT("T",G$1,"V",$D7,"A",$A7),Vulnerabilities!$G:$G,1,FALSE),"")</x:f>
      </x:c>
      <x:c r="H7" s="20" t="str">
        <x:f>_xlfn.IFNA(VLOOKUP(_xlfn.CONCAT("T",H$1,"V",$D7,"A",$A7),Vulnerabilities!$G:$G,1,FALSE),"")</x:f>
      </x:c>
      <x:c r="I7" s="20" t="str">
        <x:f>_xlfn.IFNA(VLOOKUP(_xlfn.CONCAT("T",I$1,"V",$D7,"A",$A7),Vulnerabilities!$G:$G,1,FALSE),"")</x:f>
        <x:v>t5v1a2</x:v>
      </x:c>
      <x:c r="J7" s="20" t="str">
        <x:f>_xlfn.IFNA(VLOOKUP(_xlfn.CONCAT("T",J$1,"V",$D7,"A",$A7),Vulnerabilities!$G:$G,1,FALSE),"")</x:f>
      </x:c>
      <x:c r="K7" s="20" t="str">
        <x:f>_xlfn.IFNA(VLOOKUP(_xlfn.CONCAT("T",K$1,"V",$D7,"A",$A7),Vulnerabilities!$G:$G,1,FALSE),"")</x:f>
      </x:c>
      <x:c r="L7" s="20" t="str">
        <x:f>_xlfn.IFNA(VLOOKUP(_xlfn.CONCAT("T",L$1,"V",$D7,"A",$A7),Vulnerabilities!$G:$G,1,FALSE),"")</x:f>
      </x:c>
      <x:c r="M7" s="20" t="str">
        <x:f>_xlfn.IFNA(VLOOKUP(_xlfn.CONCAT("T",M$1,"V",$D7,"A",$A7),Vulnerabilities!$G:$G,1,FALSE),"")</x:f>
      </x:c>
      <x:c r="N7" s="20" t="str">
        <x:f>_xlfn.IFNA(VLOOKUP(_xlfn.CONCAT("T",N$1,"V",$D7,"A",$A7),Vulnerabilities!$G:$G,1,FALSE),"")</x:f>
      </x:c>
      <x:c r="O7" s="20" t="str">
        <x:f>_xlfn.IFNA(VLOOKUP(_xlfn.CONCAT("T",O$1,"V",$D7,"A",$A7),Vulnerabilities!$G:$G,1,FALSE),"")</x:f>
      </x:c>
      <x:c r="P7" s="16" t="str">
        <x:f>_xlfn.IFNA(VLOOKUP(_xlfn.CONCAT("T",P$1,"V",$D7,"A",$A7),Vulnerabilities!$G:$G,1,FALSE),"")</x:f>
      </x:c>
    </x:row>
    <x:row r="8">
      <x:c r="A8" s="1">
        <x:f t="shared" si="0"/>
        <x:v>2</x:v>
      </x:c>
      <x:c r="B8" t="str">
        <x:f>IF(VLOOKUP($A8,Assets!$A:$C,2,FALSE)=0,"",VLOOKUP($A8,Assets!$A:$C,2,FALSE))</x:f>
      </x:c>
      <x:c r="C8" t="str">
        <x:f>IF(VLOOKUP($A8,Assets!$A:$C,3,FALSE)=0,"",VLOOKUP($A8,Assets!$A:$C,3,FALSE))</x:f>
      </x:c>
      <x:c r="D8" s="16">
        <x:v>2</x:v>
      </x:c>
      <x:c r="E8" s="20" t="str">
        <x:f>_xlfn.IFNA(VLOOKUP(_xlfn.CONCAT("T",E$1,"V",$D8,"A",$A8),Vulnerabilities!$G:$G,1,FALSE),"")</x:f>
      </x:c>
      <x:c r="F8" s="20" t="str">
        <x:f>_xlfn.IFNA(VLOOKUP(_xlfn.CONCAT("T",F$1,"V",$D8,"A",$A8),Vulnerabilities!$G:$G,1,FALSE),"")</x:f>
      </x:c>
      <x:c r="G8" s="20" t="str">
        <x:f>_xlfn.IFNA(VLOOKUP(_xlfn.CONCAT("T",G$1,"V",$D8,"A",$A8),Vulnerabilities!$G:$G,1,FALSE),"")</x:f>
      </x:c>
      <x:c r="H8" s="20" t="str">
        <x:f>_xlfn.IFNA(VLOOKUP(_xlfn.CONCAT("T",H$1,"V",$D8,"A",$A8),Vulnerabilities!$G:$G,1,FALSE),"")</x:f>
      </x:c>
      <x:c r="I8" s="20" t="str">
        <x:f>_xlfn.IFNA(VLOOKUP(_xlfn.CONCAT("T",I$1,"V",$D8,"A",$A8),Vulnerabilities!$G:$G,1,FALSE),"")</x:f>
        <x:v>t5v2a2</x:v>
      </x:c>
      <x:c r="J8" s="20" t="str">
        <x:f>_xlfn.IFNA(VLOOKUP(_xlfn.CONCAT("T",J$1,"V",$D8,"A",$A8),Vulnerabilities!$G:$G,1,FALSE),"")</x:f>
      </x:c>
      <x:c r="K8" s="20" t="str">
        <x:f>_xlfn.IFNA(VLOOKUP(_xlfn.CONCAT("T",K$1,"V",$D8,"A",$A8),Vulnerabilities!$G:$G,1,FALSE),"")</x:f>
      </x:c>
      <x:c r="L8" s="20" t="str">
        <x:f>_xlfn.IFNA(VLOOKUP(_xlfn.CONCAT("T",L$1,"V",$D8,"A",$A8),Vulnerabilities!$G:$G,1,FALSE),"")</x:f>
      </x:c>
      <x:c r="M8" s="20" t="str">
        <x:f>_xlfn.IFNA(VLOOKUP(_xlfn.CONCAT("T",M$1,"V",$D8,"A",$A8),Vulnerabilities!$G:$G,1,FALSE),"")</x:f>
      </x:c>
      <x:c r="N8" s="20" t="str">
        <x:f>_xlfn.IFNA(VLOOKUP(_xlfn.CONCAT("T",N$1,"V",$D8,"A",$A8),Vulnerabilities!$G:$G,1,FALSE),"")</x:f>
      </x:c>
      <x:c r="O8" s="20" t="str">
        <x:f>_xlfn.IFNA(VLOOKUP(_xlfn.CONCAT("T",O$1,"V",$D8,"A",$A8),Vulnerabilities!$G:$G,1,FALSE),"")</x:f>
      </x:c>
      <x:c r="P8" s="16" t="str">
        <x:f>_xlfn.IFNA(VLOOKUP(_xlfn.CONCAT("T",P$1,"V",$D8,"A",$A8),Vulnerabilities!$G:$G,1,FALSE),"")</x:f>
      </x:c>
    </x:row>
    <x:row r="9">
      <x:c r="A9" s="1">
        <x:f t="shared" si="0"/>
        <x:v>2</x:v>
      </x:c>
      <x:c r="B9" t="str">
        <x:f>IF(VLOOKUP($A9,Assets!$A:$C,2,FALSE)=0,"",VLOOKUP($A9,Assets!$A:$C,2,FALSE))</x:f>
      </x:c>
      <x:c r="C9" t="str">
        <x:f>IF(VLOOKUP($A9,Assets!$A:$C,3,FALSE)=0,"",VLOOKUP($A9,Assets!$A:$C,3,FALSE))</x:f>
      </x:c>
      <x:c r="D9" s="16">
        <x:v>3</x:v>
      </x:c>
      <x:c r="E9" s="20" t="str">
        <x:f>_xlfn.IFNA(VLOOKUP(_xlfn.CONCAT("T",E$1,"V",$D9,"A",$A9),Vulnerabilities!$G:$G,1,FALSE),"")</x:f>
      </x:c>
      <x:c r="F9" s="20" t="str">
        <x:f>_xlfn.IFNA(VLOOKUP(_xlfn.CONCAT("T",F$1,"V",$D9,"A",$A9),Vulnerabilities!$G:$G,1,FALSE),"")</x:f>
      </x:c>
      <x:c r="G9" s="20" t="str">
        <x:f>_xlfn.IFNA(VLOOKUP(_xlfn.CONCAT("T",G$1,"V",$D9,"A",$A9),Vulnerabilities!$G:$G,1,FALSE),"")</x:f>
      </x:c>
      <x:c r="H9" s="20" t="str">
        <x:f>_xlfn.IFNA(VLOOKUP(_xlfn.CONCAT("T",H$1,"V",$D9,"A",$A9),Vulnerabilities!$G:$G,1,FALSE),"")</x:f>
      </x:c>
      <x:c r="I9" s="20" t="str">
        <x:f>_xlfn.IFNA(VLOOKUP(_xlfn.CONCAT("T",I$1,"V",$D9,"A",$A9),Vulnerabilities!$G:$G,1,FALSE),"")</x:f>
        <x:v>t5v3a2</x:v>
      </x:c>
      <x:c r="J9" s="20" t="str">
        <x:f>_xlfn.IFNA(VLOOKUP(_xlfn.CONCAT("T",J$1,"V",$D9,"A",$A9),Vulnerabilities!$G:$G,1,FALSE),"")</x:f>
      </x:c>
      <x:c r="K9" s="20" t="str">
        <x:f>_xlfn.IFNA(VLOOKUP(_xlfn.CONCAT("T",K$1,"V",$D9,"A",$A9),Vulnerabilities!$G:$G,1,FALSE),"")</x:f>
      </x:c>
      <x:c r="L9" s="20" t="str">
        <x:f>_xlfn.IFNA(VLOOKUP(_xlfn.CONCAT("T",L$1,"V",$D9,"A",$A9),Vulnerabilities!$G:$G,1,FALSE),"")</x:f>
      </x:c>
      <x:c r="M9" s="20" t="str">
        <x:f>_xlfn.IFNA(VLOOKUP(_xlfn.CONCAT("T",M$1,"V",$D9,"A",$A9),Vulnerabilities!$G:$G,1,FALSE),"")</x:f>
      </x:c>
      <x:c r="N9" s="20" t="str">
        <x:f>_xlfn.IFNA(VLOOKUP(_xlfn.CONCAT("T",N$1,"V",$D9,"A",$A9),Vulnerabilities!$G:$G,1,FALSE),"")</x:f>
      </x:c>
      <x:c r="O9" s="20" t="str">
        <x:f>_xlfn.IFNA(VLOOKUP(_xlfn.CONCAT("T",O$1,"V",$D9,"A",$A9),Vulnerabilities!$G:$G,1,FALSE),"")</x:f>
      </x:c>
      <x:c r="P9" s="16" t="str">
        <x:f>_xlfn.IFNA(VLOOKUP(_xlfn.CONCAT("T",P$1,"V",$D9,"A",$A9),Vulnerabilities!$G:$G,1,FALSE),"")</x:f>
      </x:c>
    </x:row>
    <x:row r="10">
      <x:c r="A10" s="11">
        <x:f t="shared" si="0"/>
        <x:v>2</x:v>
      </x:c>
      <x:c r="B10" s="12" t="str">
        <x:f>IF(VLOOKUP($A10,Assets!$A:$C,2,FALSE)=0,"",VLOOKUP($A10,Assets!$A:$C,2,FALSE))</x:f>
      </x:c>
      <x:c r="C10" s="12" t="str">
        <x:f>IF(VLOOKUP($A10,Assets!$A:$C,3,FALSE)=0,"",VLOOKUP($A10,Assets!$A:$C,3,FALSE))</x:f>
      </x:c>
      <x:c r="D10" s="17">
        <x:v>4</x:v>
      </x:c>
      <x:c r="E10" s="21" t="str">
        <x:f>_xlfn.IFNA(VLOOKUP(_xlfn.CONCAT("T",E$1,"V",$D10,"A",$A10),Vulnerabilities!$G:$G,1,FALSE),"")</x:f>
      </x:c>
      <x:c r="F10" s="21" t="str">
        <x:f>_xlfn.IFNA(VLOOKUP(_xlfn.CONCAT("T",F$1,"V",$D10,"A",$A10),Vulnerabilities!$G:$G,1,FALSE),"")</x:f>
      </x:c>
      <x:c r="G10" s="21" t="str">
        <x:f>_xlfn.IFNA(VLOOKUP(_xlfn.CONCAT("T",G$1,"V",$D10,"A",$A10),Vulnerabilities!$G:$G,1,FALSE),"")</x:f>
      </x:c>
      <x:c r="H10" s="21" t="str">
        <x:f>_xlfn.IFNA(VLOOKUP(_xlfn.CONCAT("T",H$1,"V",$D10,"A",$A10),Vulnerabilities!$G:$G,1,FALSE),"")</x:f>
      </x:c>
      <x:c r="I10" s="21" t="str">
        <x:f>_xlfn.IFNA(VLOOKUP(_xlfn.CONCAT("T",I$1,"V",$D10,"A",$A10),Vulnerabilities!$G:$G,1,FALSE),"")</x:f>
      </x:c>
      <x:c r="J10" s="21" t="str">
        <x:f>_xlfn.IFNA(VLOOKUP(_xlfn.CONCAT("T",J$1,"V",$D10,"A",$A10),Vulnerabilities!$G:$G,1,FALSE),"")</x:f>
      </x:c>
      <x:c r="K10" s="21" t="str">
        <x:f>_xlfn.IFNA(VLOOKUP(_xlfn.CONCAT("T",K$1,"V",$D10,"A",$A10),Vulnerabilities!$G:$G,1,FALSE),"")</x:f>
      </x:c>
      <x:c r="L10" s="21" t="str">
        <x:f>_xlfn.IFNA(VLOOKUP(_xlfn.CONCAT("T",L$1,"V",$D10,"A",$A10),Vulnerabilities!$G:$G,1,FALSE),"")</x:f>
      </x:c>
      <x:c r="M10" s="21" t="str">
        <x:f>_xlfn.IFNA(VLOOKUP(_xlfn.CONCAT("T",M$1,"V",$D10,"A",$A10),Vulnerabilities!$G:$G,1,FALSE),"")</x:f>
      </x:c>
      <x:c r="N10" s="21" t="str">
        <x:f>_xlfn.IFNA(VLOOKUP(_xlfn.CONCAT("T",N$1,"V",$D10,"A",$A10),Vulnerabilities!$G:$G,1,FALSE),"")</x:f>
      </x:c>
      <x:c r="O10" s="21" t="str">
        <x:f>_xlfn.IFNA(VLOOKUP(_xlfn.CONCAT("T",O$1,"V",$D10,"A",$A10),Vulnerabilities!$G:$G,1,FALSE),"")</x:f>
      </x:c>
      <x:c r="P10" s="17" t="str">
        <x:f>_xlfn.IFNA(VLOOKUP(_xlfn.CONCAT("T",P$1,"V",$D10,"A",$A10),Vulnerabilities!$G:$G,1,FALSE),"")</x:f>
      </x:c>
    </x:row>
    <x:row r="11">
      <x:c r="A11" s="1">
        <x:f t="shared" si="0"/>
        <x:v>3</x:v>
      </x:c>
      <x:c r="B11" t="str">
        <x:f>IF(VLOOKUP($A11,Assets!$A:$C,2,FALSE)=0,"",VLOOKUP($A11,Assets!$A:$C,2,FALSE))</x:f>
      </x:c>
      <x:c r="C11" t="str">
        <x:f>IF(VLOOKUP($A11,Assets!$A:$C,3,FALSE)=0,"",VLOOKUP($A11,Assets!$A:$C,3,FALSE))</x:f>
      </x:c>
      <x:c r="D11" s="16">
        <x:v>1</x:v>
      </x:c>
      <x:c r="E11" s="20" t="str">
        <x:f>_xlfn.IFNA(VLOOKUP(_xlfn.CONCAT("T",E$1,"V",$D11,"A",$A11),Vulnerabilities!$G:$G,1,FALSE),"")</x:f>
        <x:v>t1v1a3</x:v>
      </x:c>
      <x:c r="F11" s="20" t="str">
        <x:f>_xlfn.IFNA(VLOOKUP(_xlfn.CONCAT("T",F$1,"V",$D11,"A",$A11),Vulnerabilities!$G:$G,1,FALSE),"")</x:f>
      </x:c>
      <x:c r="G11" s="20" t="str">
        <x:f>_xlfn.IFNA(VLOOKUP(_xlfn.CONCAT("T",G$1,"V",$D11,"A",$A11),Vulnerabilities!$G:$G,1,FALSE),"")</x:f>
      </x:c>
      <x:c r="H11" s="20" t="str">
        <x:f>_xlfn.IFNA(VLOOKUP(_xlfn.CONCAT("T",H$1,"V",$D11,"A",$A11),Vulnerabilities!$G:$G,1,FALSE),"")</x:f>
      </x:c>
      <x:c r="I11" s="20" t="str">
        <x:f>_xlfn.IFNA(VLOOKUP(_xlfn.CONCAT("T",I$1,"V",$D11,"A",$A11),Vulnerabilities!$G:$G,1,FALSE),"")</x:f>
      </x:c>
      <x:c r="J11" s="20" t="str">
        <x:f>_xlfn.IFNA(VLOOKUP(_xlfn.CONCAT("T",J$1,"V",$D11,"A",$A11),Vulnerabilities!$G:$G,1,FALSE),"")</x:f>
      </x:c>
      <x:c r="K11" s="20" t="str">
        <x:f>_xlfn.IFNA(VLOOKUP(_xlfn.CONCAT("T",K$1,"V",$D11,"A",$A11),Vulnerabilities!$G:$G,1,FALSE),"")</x:f>
      </x:c>
      <x:c r="L11" s="20" t="str">
        <x:f>_xlfn.IFNA(VLOOKUP(_xlfn.CONCAT("T",L$1,"V",$D11,"A",$A11),Vulnerabilities!$G:$G,1,FALSE),"")</x:f>
      </x:c>
      <x:c r="M11" s="20" t="str">
        <x:f>_xlfn.IFNA(VLOOKUP(_xlfn.CONCAT("T",M$1,"V",$D11,"A",$A11),Vulnerabilities!$G:$G,1,FALSE),"")</x:f>
      </x:c>
      <x:c r="N11" s="20" t="str">
        <x:f>_xlfn.IFNA(VLOOKUP(_xlfn.CONCAT("T",N$1,"V",$D11,"A",$A11),Vulnerabilities!$G:$G,1,FALSE),"")</x:f>
      </x:c>
      <x:c r="O11" s="20" t="str">
        <x:f>_xlfn.IFNA(VLOOKUP(_xlfn.CONCAT("T",O$1,"V",$D11,"A",$A11),Vulnerabilities!$G:$G,1,FALSE),"")</x:f>
      </x:c>
      <x:c r="P11" s="16" t="str">
        <x:f>_xlfn.IFNA(VLOOKUP(_xlfn.CONCAT("T",P$1,"V",$D11,"A",$A11),Vulnerabilities!$G:$G,1,FALSE),"")</x:f>
      </x:c>
    </x:row>
    <x:row r="12">
      <x:c r="A12" s="1">
        <x:f t="shared" si="0"/>
        <x:v>3</x:v>
      </x:c>
      <x:c r="B12" t="str">
        <x:f>IF(VLOOKUP($A12,Assets!$A:$C,2,FALSE)=0,"",VLOOKUP($A12,Assets!$A:$C,2,FALSE))</x:f>
      </x:c>
      <x:c r="C12" t="str">
        <x:f>IF(VLOOKUP($A12,Assets!$A:$C,3,FALSE)=0,"",VLOOKUP($A12,Assets!$A:$C,3,FALSE))</x:f>
      </x:c>
      <x:c r="D12" s="16">
        <x:v>2</x:v>
      </x:c>
      <x:c r="E12" s="20" t="str">
        <x:f>_xlfn.IFNA(VLOOKUP(_xlfn.CONCAT("T",E$1,"V",$D12,"A",$A12),Vulnerabilities!$G:$G,1,FALSE),"")</x:f>
      </x:c>
      <x:c r="F12" s="20" t="str">
        <x:f>_xlfn.IFNA(VLOOKUP(_xlfn.CONCAT("T",F$1,"V",$D12,"A",$A12),Vulnerabilities!$G:$G,1,FALSE),"")</x:f>
      </x:c>
      <x:c r="G12" s="20" t="str">
        <x:f>_xlfn.IFNA(VLOOKUP(_xlfn.CONCAT("T",G$1,"V",$D12,"A",$A12),Vulnerabilities!$G:$G,1,FALSE),"")</x:f>
      </x:c>
      <x:c r="H12" s="20" t="str">
        <x:f>_xlfn.IFNA(VLOOKUP(_xlfn.CONCAT("T",H$1,"V",$D12,"A",$A12),Vulnerabilities!$G:$G,1,FALSE),"")</x:f>
      </x:c>
      <x:c r="I12" s="20" t="str">
        <x:f>_xlfn.IFNA(VLOOKUP(_xlfn.CONCAT("T",I$1,"V",$D12,"A",$A12),Vulnerabilities!$G:$G,1,FALSE),"")</x:f>
      </x:c>
      <x:c r="J12" s="20" t="str">
        <x:f>_xlfn.IFNA(VLOOKUP(_xlfn.CONCAT("T",J$1,"V",$D12,"A",$A12),Vulnerabilities!$G:$G,1,FALSE),"")</x:f>
      </x:c>
      <x:c r="K12" s="20" t="str">
        <x:f>_xlfn.IFNA(VLOOKUP(_xlfn.CONCAT("T",K$1,"V",$D12,"A",$A12),Vulnerabilities!$G:$G,1,FALSE),"")</x:f>
      </x:c>
      <x:c r="L12" s="20" t="str">
        <x:f>_xlfn.IFNA(VLOOKUP(_xlfn.CONCAT("T",L$1,"V",$D12,"A",$A12),Vulnerabilities!$G:$G,1,FALSE),"")</x:f>
      </x:c>
      <x:c r="M12" s="20" t="str">
        <x:f>_xlfn.IFNA(VLOOKUP(_xlfn.CONCAT("T",M$1,"V",$D12,"A",$A12),Vulnerabilities!$G:$G,1,FALSE),"")</x:f>
      </x:c>
      <x:c r="N12" s="20" t="str">
        <x:f>_xlfn.IFNA(VLOOKUP(_xlfn.CONCAT("T",N$1,"V",$D12,"A",$A12),Vulnerabilities!$G:$G,1,FALSE),"")</x:f>
      </x:c>
      <x:c r="O12" s="20" t="str">
        <x:f>_xlfn.IFNA(VLOOKUP(_xlfn.CONCAT("T",O$1,"V",$D12,"A",$A12),Vulnerabilities!$G:$G,1,FALSE),"")</x:f>
      </x:c>
      <x:c r="P12" s="16" t="str">
        <x:f>_xlfn.IFNA(VLOOKUP(_xlfn.CONCAT("T",P$1,"V",$D12,"A",$A12),Vulnerabilities!$G:$G,1,FALSE),"")</x:f>
      </x:c>
    </x:row>
    <x:row r="13">
      <x:c r="A13" s="1">
        <x:f t="shared" si="0"/>
        <x:v>3</x:v>
      </x:c>
      <x:c r="B13" t="str">
        <x:f>IF(VLOOKUP($A13,Assets!$A:$C,2,FALSE)=0,"",VLOOKUP($A13,Assets!$A:$C,2,FALSE))</x:f>
      </x:c>
      <x:c r="C13" t="str">
        <x:f>IF(VLOOKUP($A13,Assets!$A:$C,3,FALSE)=0,"",VLOOKUP($A13,Assets!$A:$C,3,FALSE))</x:f>
      </x:c>
      <x:c r="D13" s="16">
        <x:v>3</x:v>
      </x:c>
      <x:c r="E13" s="20" t="str">
        <x:f>_xlfn.IFNA(VLOOKUP(_xlfn.CONCAT("T",E$1,"V",$D13,"A",$A13),Vulnerabilities!$G:$G,1,FALSE),"")</x:f>
      </x:c>
      <x:c r="F13" s="20" t="str">
        <x:f>_xlfn.IFNA(VLOOKUP(_xlfn.CONCAT("T",F$1,"V",$D13,"A",$A13),Vulnerabilities!$G:$G,1,FALSE),"")</x:f>
      </x:c>
      <x:c r="G13" s="20" t="str">
        <x:f>_xlfn.IFNA(VLOOKUP(_xlfn.CONCAT("T",G$1,"V",$D13,"A",$A13),Vulnerabilities!$G:$G,1,FALSE),"")</x:f>
      </x:c>
      <x:c r="H13" s="20" t="str">
        <x:f>_xlfn.IFNA(VLOOKUP(_xlfn.CONCAT("T",H$1,"V",$D13,"A",$A13),Vulnerabilities!$G:$G,1,FALSE),"")</x:f>
      </x:c>
      <x:c r="I13" s="20" t="str">
        <x:f>_xlfn.IFNA(VLOOKUP(_xlfn.CONCAT("T",I$1,"V",$D13,"A",$A13),Vulnerabilities!$G:$G,1,FALSE),"")</x:f>
      </x:c>
      <x:c r="J13" s="20" t="str">
        <x:f>_xlfn.IFNA(VLOOKUP(_xlfn.CONCAT("T",J$1,"V",$D13,"A",$A13),Vulnerabilities!$G:$G,1,FALSE),"")</x:f>
      </x:c>
      <x:c r="K13" s="20" t="str">
        <x:f>_xlfn.IFNA(VLOOKUP(_xlfn.CONCAT("T",K$1,"V",$D13,"A",$A13),Vulnerabilities!$G:$G,1,FALSE),"")</x:f>
      </x:c>
      <x:c r="L13" s="20" t="str">
        <x:f>_xlfn.IFNA(VLOOKUP(_xlfn.CONCAT("T",L$1,"V",$D13,"A",$A13),Vulnerabilities!$G:$G,1,FALSE),"")</x:f>
      </x:c>
      <x:c r="M13" s="20" t="str">
        <x:f>_xlfn.IFNA(VLOOKUP(_xlfn.CONCAT("T",M$1,"V",$D13,"A",$A13),Vulnerabilities!$G:$G,1,FALSE),"")</x:f>
      </x:c>
      <x:c r="N13" s="20" t="str">
        <x:f>_xlfn.IFNA(VLOOKUP(_xlfn.CONCAT("T",N$1,"V",$D13,"A",$A13),Vulnerabilities!$G:$G,1,FALSE),"")</x:f>
      </x:c>
      <x:c r="O13" s="20" t="str">
        <x:f>_xlfn.IFNA(VLOOKUP(_xlfn.CONCAT("T",O$1,"V",$D13,"A",$A13),Vulnerabilities!$G:$G,1,FALSE),"")</x:f>
      </x:c>
      <x:c r="P13" s="16" t="str">
        <x:f>_xlfn.IFNA(VLOOKUP(_xlfn.CONCAT("T",P$1,"V",$D13,"A",$A13),Vulnerabilities!$G:$G,1,FALSE),"")</x:f>
      </x:c>
    </x:row>
    <x:row r="14">
      <x:c r="A14" s="11">
        <x:f t="shared" si="0"/>
        <x:v>3</x:v>
      </x:c>
      <x:c r="B14" s="12" t="str">
        <x:f>IF(VLOOKUP($A14,Assets!$A:$C,2,FALSE)=0,"",VLOOKUP($A14,Assets!$A:$C,2,FALSE))</x:f>
      </x:c>
      <x:c r="C14" s="12" t="str">
        <x:f>IF(VLOOKUP($A14,Assets!$A:$C,3,FALSE)=0,"",VLOOKUP($A14,Assets!$A:$C,3,FALSE))</x:f>
      </x:c>
      <x:c r="D14" s="17">
        <x:v>4</x:v>
      </x:c>
      <x:c r="E14" s="21" t="str">
        <x:f>_xlfn.IFNA(VLOOKUP(_xlfn.CONCAT("T",E$1,"V",$D14,"A",$A14),Vulnerabilities!$G:$G,1,FALSE),"")</x:f>
      </x:c>
      <x:c r="F14" s="21" t="str">
        <x:f>_xlfn.IFNA(VLOOKUP(_xlfn.CONCAT("T",F$1,"V",$D14,"A",$A14),Vulnerabilities!$G:$G,1,FALSE),"")</x:f>
      </x:c>
      <x:c r="G14" s="21" t="str">
        <x:f>_xlfn.IFNA(VLOOKUP(_xlfn.CONCAT("T",G$1,"V",$D14,"A",$A14),Vulnerabilities!$G:$G,1,FALSE),"")</x:f>
      </x:c>
      <x:c r="H14" s="21" t="str">
        <x:f>_xlfn.IFNA(VLOOKUP(_xlfn.CONCAT("T",H$1,"V",$D14,"A",$A14),Vulnerabilities!$G:$G,1,FALSE),"")</x:f>
      </x:c>
      <x:c r="I14" s="21" t="str">
        <x:f>_xlfn.IFNA(VLOOKUP(_xlfn.CONCAT("T",I$1,"V",$D14,"A",$A14),Vulnerabilities!$G:$G,1,FALSE),"")</x:f>
      </x:c>
      <x:c r="J14" s="21" t="str">
        <x:f>_xlfn.IFNA(VLOOKUP(_xlfn.CONCAT("T",J$1,"V",$D14,"A",$A14),Vulnerabilities!$G:$G,1,FALSE),"")</x:f>
      </x:c>
      <x:c r="K14" s="21" t="str">
        <x:f>_xlfn.IFNA(VLOOKUP(_xlfn.CONCAT("T",K$1,"V",$D14,"A",$A14),Vulnerabilities!$G:$G,1,FALSE),"")</x:f>
      </x:c>
      <x:c r="L14" s="21" t="str">
        <x:f>_xlfn.IFNA(VLOOKUP(_xlfn.CONCAT("T",L$1,"V",$D14,"A",$A14),Vulnerabilities!$G:$G,1,FALSE),"")</x:f>
      </x:c>
      <x:c r="M14" s="21" t="str">
        <x:f>_xlfn.IFNA(VLOOKUP(_xlfn.CONCAT("T",M$1,"V",$D14,"A",$A14),Vulnerabilities!$G:$G,1,FALSE),"")</x:f>
      </x:c>
      <x:c r="N14" s="21" t="str">
        <x:f>_xlfn.IFNA(VLOOKUP(_xlfn.CONCAT("T",N$1,"V",$D14,"A",$A14),Vulnerabilities!$G:$G,1,FALSE),"")</x:f>
      </x:c>
      <x:c r="O14" s="21" t="str">
        <x:f>_xlfn.IFNA(VLOOKUP(_xlfn.CONCAT("T",O$1,"V",$D14,"A",$A14),Vulnerabilities!$G:$G,1,FALSE),"")</x:f>
      </x:c>
      <x:c r="P14" s="17" t="str">
        <x:f>_xlfn.IFNA(VLOOKUP(_xlfn.CONCAT("T",P$1,"V",$D14,"A",$A14),Vulnerabilities!$G:$G,1,FALSE),"")</x:f>
      </x:c>
    </x:row>
    <x:row r="15">
      <x:c r="A15" s="1">
        <x:f t="shared" si="0"/>
        <x:v>4</x:v>
      </x:c>
      <x:c r="B15" t="str">
        <x:f>IF(VLOOKUP($A15,Assets!$A:$C,2,FALSE)=0,"",VLOOKUP($A15,Assets!$A:$C,2,FALSE))</x:f>
      </x:c>
      <x:c r="C15" t="str">
        <x:f>IF(VLOOKUP($A15,Assets!$A:$C,3,FALSE)=0,"",VLOOKUP($A15,Assets!$A:$C,3,FALSE))</x:f>
      </x:c>
      <x:c r="D15" s="16">
        <x:v>1</x:v>
      </x:c>
      <x:c r="E15" s="20" t="str">
        <x:f>_xlfn.IFNA(VLOOKUP(_xlfn.CONCAT("T",E$1,"V",$D15,"A",$A15),Vulnerabilities!$G:$G,1,FALSE),"")</x:f>
      </x:c>
      <x:c r="F15" s="20" t="str">
        <x:f>_xlfn.IFNA(VLOOKUP(_xlfn.CONCAT("T",F$1,"V",$D15,"A",$A15),Vulnerabilities!$G:$G,1,FALSE),"")</x:f>
      </x:c>
      <x:c r="G15" s="20" t="str">
        <x:f>_xlfn.IFNA(VLOOKUP(_xlfn.CONCAT("T",G$1,"V",$D15,"A",$A15),Vulnerabilities!$G:$G,1,FALSE),"")</x:f>
      </x:c>
      <x:c r="H15" s="20" t="str">
        <x:f>_xlfn.IFNA(VLOOKUP(_xlfn.CONCAT("T",H$1,"V",$D15,"A",$A15),Vulnerabilities!$G:$G,1,FALSE),"")</x:f>
      </x:c>
      <x:c r="I15" s="20" t="str">
        <x:f>_xlfn.IFNA(VLOOKUP(_xlfn.CONCAT("T",I$1,"V",$D15,"A",$A15),Vulnerabilities!$G:$G,1,FALSE),"")</x:f>
      </x:c>
      <x:c r="J15" s="20" t="str">
        <x:f>_xlfn.IFNA(VLOOKUP(_xlfn.CONCAT("T",J$1,"V",$D15,"A",$A15),Vulnerabilities!$G:$G,1,FALSE),"")</x:f>
      </x:c>
      <x:c r="K15" s="20" t="str">
        <x:f>_xlfn.IFNA(VLOOKUP(_xlfn.CONCAT("T",K$1,"V",$D15,"A",$A15),Vulnerabilities!$G:$G,1,FALSE),"")</x:f>
      </x:c>
      <x:c r="L15" s="20" t="str">
        <x:f>_xlfn.IFNA(VLOOKUP(_xlfn.CONCAT("T",L$1,"V",$D15,"A",$A15),Vulnerabilities!$G:$G,1,FALSE),"")</x:f>
      </x:c>
      <x:c r="M15" s="20" t="str">
        <x:f>_xlfn.IFNA(VLOOKUP(_xlfn.CONCAT("T",M$1,"V",$D15,"A",$A15),Vulnerabilities!$G:$G,1,FALSE),"")</x:f>
      </x:c>
      <x:c r="N15" s="20" t="str">
        <x:f>_xlfn.IFNA(VLOOKUP(_xlfn.CONCAT("T",N$1,"V",$D15,"A",$A15),Vulnerabilities!$G:$G,1,FALSE),"")</x:f>
      </x:c>
      <x:c r="O15" s="20" t="str">
        <x:f>_xlfn.IFNA(VLOOKUP(_xlfn.CONCAT("T",O$1,"V",$D15,"A",$A15),Vulnerabilities!$G:$G,1,FALSE),"")</x:f>
      </x:c>
      <x:c r="P15" s="16" t="str">
        <x:f>_xlfn.IFNA(VLOOKUP(_xlfn.CONCAT("T",P$1,"V",$D15,"A",$A15),Vulnerabilities!$G:$G,1,FALSE),"")</x:f>
      </x:c>
    </x:row>
    <x:row r="16">
      <x:c r="A16" s="1">
        <x:f t="shared" si="0"/>
        <x:v>4</x:v>
      </x:c>
      <x:c r="B16" t="str">
        <x:f>IF(VLOOKUP($A16,Assets!$A:$C,2,FALSE)=0,"",VLOOKUP($A16,Assets!$A:$C,2,FALSE))</x:f>
      </x:c>
      <x:c r="C16" t="str">
        <x:f>IF(VLOOKUP($A16,Assets!$A:$C,3,FALSE)=0,"",VLOOKUP($A16,Assets!$A:$C,3,FALSE))</x:f>
      </x:c>
      <x:c r="D16" s="16">
        <x:v>2</x:v>
      </x:c>
      <x:c r="E16" s="20" t="str">
        <x:f>_xlfn.IFNA(VLOOKUP(_xlfn.CONCAT("T",E$1,"V",$D16,"A",$A16),Vulnerabilities!$G:$G,1,FALSE),"")</x:f>
      </x:c>
      <x:c r="F16" s="20" t="str">
        <x:f>_xlfn.IFNA(VLOOKUP(_xlfn.CONCAT("T",F$1,"V",$D16,"A",$A16),Vulnerabilities!$G:$G,1,FALSE),"")</x:f>
      </x:c>
      <x:c r="G16" s="20" t="str">
        <x:f>_xlfn.IFNA(VLOOKUP(_xlfn.CONCAT("T",G$1,"V",$D16,"A",$A16),Vulnerabilities!$G:$G,1,FALSE),"")</x:f>
      </x:c>
      <x:c r="H16" s="20" t="str">
        <x:f>_xlfn.IFNA(VLOOKUP(_xlfn.CONCAT("T",H$1,"V",$D16,"A",$A16),Vulnerabilities!$G:$G,1,FALSE),"")</x:f>
      </x:c>
      <x:c r="I16" s="20" t="str">
        <x:f>_xlfn.IFNA(VLOOKUP(_xlfn.CONCAT("T",I$1,"V",$D16,"A",$A16),Vulnerabilities!$G:$G,1,FALSE),"")</x:f>
      </x:c>
      <x:c r="J16" s="20" t="str">
        <x:f>_xlfn.IFNA(VLOOKUP(_xlfn.CONCAT("T",J$1,"V",$D16,"A",$A16),Vulnerabilities!$G:$G,1,FALSE),"")</x:f>
      </x:c>
      <x:c r="K16" s="20" t="str">
        <x:f>_xlfn.IFNA(VLOOKUP(_xlfn.CONCAT("T",K$1,"V",$D16,"A",$A16),Vulnerabilities!$G:$G,1,FALSE),"")</x:f>
      </x:c>
      <x:c r="L16" s="20" t="str">
        <x:f>_xlfn.IFNA(VLOOKUP(_xlfn.CONCAT("T",L$1,"V",$D16,"A",$A16),Vulnerabilities!$G:$G,1,FALSE),"")</x:f>
      </x:c>
      <x:c r="M16" s="20" t="str">
        <x:f>_xlfn.IFNA(VLOOKUP(_xlfn.CONCAT("T",M$1,"V",$D16,"A",$A16),Vulnerabilities!$G:$G,1,FALSE),"")</x:f>
      </x:c>
      <x:c r="N16" s="20" t="str">
        <x:f>_xlfn.IFNA(VLOOKUP(_xlfn.CONCAT("T",N$1,"V",$D16,"A",$A16),Vulnerabilities!$G:$G,1,FALSE),"")</x:f>
      </x:c>
      <x:c r="O16" s="20" t="str">
        <x:f>_xlfn.IFNA(VLOOKUP(_xlfn.CONCAT("T",O$1,"V",$D16,"A",$A16),Vulnerabilities!$G:$G,1,FALSE),"")</x:f>
      </x:c>
      <x:c r="P16" s="16" t="str">
        <x:f>_xlfn.IFNA(VLOOKUP(_xlfn.CONCAT("T",P$1,"V",$D16,"A",$A16),Vulnerabilities!$G:$G,1,FALSE),"")</x:f>
      </x:c>
    </x:row>
    <x:row r="17">
      <x:c r="A17" s="1">
        <x:f t="shared" si="0"/>
        <x:v>4</x:v>
      </x:c>
      <x:c r="B17" t="str">
        <x:f>IF(VLOOKUP($A17,Assets!$A:$C,2,FALSE)=0,"",VLOOKUP($A17,Assets!$A:$C,2,FALSE))</x:f>
      </x:c>
      <x:c r="C17" t="str">
        <x:f>IF(VLOOKUP($A17,Assets!$A:$C,3,FALSE)=0,"",VLOOKUP($A17,Assets!$A:$C,3,FALSE))</x:f>
      </x:c>
      <x:c r="D17" s="16">
        <x:v>3</x:v>
      </x:c>
      <x:c r="E17" s="20" t="str">
        <x:f>_xlfn.IFNA(VLOOKUP(_xlfn.CONCAT("T",E$1,"V",$D17,"A",$A17),Vulnerabilities!$G:$G,1,FALSE),"")</x:f>
      </x:c>
      <x:c r="F17" s="20" t="str">
        <x:f>_xlfn.IFNA(VLOOKUP(_xlfn.CONCAT("T",F$1,"V",$D17,"A",$A17),Vulnerabilities!$G:$G,1,FALSE),"")</x:f>
      </x:c>
      <x:c r="G17" s="20" t="str">
        <x:f>_xlfn.IFNA(VLOOKUP(_xlfn.CONCAT("T",G$1,"V",$D17,"A",$A17),Vulnerabilities!$G:$G,1,FALSE),"")</x:f>
      </x:c>
      <x:c r="H17" s="20" t="str">
        <x:f>_xlfn.IFNA(VLOOKUP(_xlfn.CONCAT("T",H$1,"V",$D17,"A",$A17),Vulnerabilities!$G:$G,1,FALSE),"")</x:f>
      </x:c>
      <x:c r="I17" s="20" t="str">
        <x:f>_xlfn.IFNA(VLOOKUP(_xlfn.CONCAT("T",I$1,"V",$D17,"A",$A17),Vulnerabilities!$G:$G,1,FALSE),"")</x:f>
      </x:c>
      <x:c r="J17" s="20" t="str">
        <x:f>_xlfn.IFNA(VLOOKUP(_xlfn.CONCAT("T",J$1,"V",$D17,"A",$A17),Vulnerabilities!$G:$G,1,FALSE),"")</x:f>
      </x:c>
      <x:c r="K17" s="20" t="str">
        <x:f>_xlfn.IFNA(VLOOKUP(_xlfn.CONCAT("T",K$1,"V",$D17,"A",$A17),Vulnerabilities!$G:$G,1,FALSE),"")</x:f>
      </x:c>
      <x:c r="L17" s="20" t="str">
        <x:f>_xlfn.IFNA(VLOOKUP(_xlfn.CONCAT("T",L$1,"V",$D17,"A",$A17),Vulnerabilities!$G:$G,1,FALSE),"")</x:f>
      </x:c>
      <x:c r="M17" s="20" t="str">
        <x:f>_xlfn.IFNA(VLOOKUP(_xlfn.CONCAT("T",M$1,"V",$D17,"A",$A17),Vulnerabilities!$G:$G,1,FALSE),"")</x:f>
      </x:c>
      <x:c r="N17" s="20" t="str">
        <x:f>_xlfn.IFNA(VLOOKUP(_xlfn.CONCAT("T",N$1,"V",$D17,"A",$A17),Vulnerabilities!$G:$G,1,FALSE),"")</x:f>
      </x:c>
      <x:c r="O17" s="20" t="str">
        <x:f>_xlfn.IFNA(VLOOKUP(_xlfn.CONCAT("T",O$1,"V",$D17,"A",$A17),Vulnerabilities!$G:$G,1,FALSE),"")</x:f>
      </x:c>
      <x:c r="P17" s="16" t="str">
        <x:f>_xlfn.IFNA(VLOOKUP(_xlfn.CONCAT("T",P$1,"V",$D17,"A",$A17),Vulnerabilities!$G:$G,1,FALSE),"")</x:f>
      </x:c>
    </x:row>
    <x:row r="18">
      <x:c r="A18" s="11">
        <x:f t="shared" si="0"/>
        <x:v>4</x:v>
      </x:c>
      <x:c r="B18" s="12" t="str">
        <x:f>IF(VLOOKUP($A18,Assets!$A:$C,2,FALSE)=0,"",VLOOKUP($A18,Assets!$A:$C,2,FALSE))</x:f>
      </x:c>
      <x:c r="C18" s="12" t="str">
        <x:f>IF(VLOOKUP($A18,Assets!$A:$C,3,FALSE)=0,"",VLOOKUP($A18,Assets!$A:$C,3,FALSE))</x:f>
      </x:c>
      <x:c r="D18" s="17">
        <x:v>4</x:v>
      </x:c>
      <x:c r="E18" s="21" t="str">
        <x:f>_xlfn.IFNA(VLOOKUP(_xlfn.CONCAT("T",E$1,"V",$D18,"A",$A18),Vulnerabilities!$G:$G,1,FALSE),"")</x:f>
      </x:c>
      <x:c r="F18" s="21" t="str">
        <x:f>_xlfn.IFNA(VLOOKUP(_xlfn.CONCAT("T",F$1,"V",$D18,"A",$A18),Vulnerabilities!$G:$G,1,FALSE),"")</x:f>
      </x:c>
      <x:c r="G18" s="21" t="str">
        <x:f>_xlfn.IFNA(VLOOKUP(_xlfn.CONCAT("T",G$1,"V",$D18,"A",$A18),Vulnerabilities!$G:$G,1,FALSE),"")</x:f>
      </x:c>
      <x:c r="H18" s="21" t="str">
        <x:f>_xlfn.IFNA(VLOOKUP(_xlfn.CONCAT("T",H$1,"V",$D18,"A",$A18),Vulnerabilities!$G:$G,1,FALSE),"")</x:f>
      </x:c>
      <x:c r="I18" s="21" t="str">
        <x:f>_xlfn.IFNA(VLOOKUP(_xlfn.CONCAT("T",I$1,"V",$D18,"A",$A18),Vulnerabilities!$G:$G,1,FALSE),"")</x:f>
      </x:c>
      <x:c r="J18" s="21" t="str">
        <x:f>_xlfn.IFNA(VLOOKUP(_xlfn.CONCAT("T",J$1,"V",$D18,"A",$A18),Vulnerabilities!$G:$G,1,FALSE),"")</x:f>
      </x:c>
      <x:c r="K18" s="21" t="str">
        <x:f>_xlfn.IFNA(VLOOKUP(_xlfn.CONCAT("T",K$1,"V",$D18,"A",$A18),Vulnerabilities!$G:$G,1,FALSE),"")</x:f>
      </x:c>
      <x:c r="L18" s="21" t="str">
        <x:f>_xlfn.IFNA(VLOOKUP(_xlfn.CONCAT("T",L$1,"V",$D18,"A",$A18),Vulnerabilities!$G:$G,1,FALSE),"")</x:f>
      </x:c>
      <x:c r="M18" s="21" t="str">
        <x:f>_xlfn.IFNA(VLOOKUP(_xlfn.CONCAT("T",M$1,"V",$D18,"A",$A18),Vulnerabilities!$G:$G,1,FALSE),"")</x:f>
      </x:c>
      <x:c r="N18" s="21" t="str">
        <x:f>_xlfn.IFNA(VLOOKUP(_xlfn.CONCAT("T",N$1,"V",$D18,"A",$A18),Vulnerabilities!$G:$G,1,FALSE),"")</x:f>
      </x:c>
      <x:c r="O18" s="21" t="str">
        <x:f>_xlfn.IFNA(VLOOKUP(_xlfn.CONCAT("T",O$1,"V",$D18,"A",$A18),Vulnerabilities!$G:$G,1,FALSE),"")</x:f>
      </x:c>
      <x:c r="P18" s="17" t="str">
        <x:f>_xlfn.IFNA(VLOOKUP(_xlfn.CONCAT("T",P$1,"V",$D18,"A",$A18),Vulnerabilities!$G:$G,1,FALSE),"")</x:f>
      </x:c>
    </x:row>
    <x:row r="19">
      <x:c r="A19" s="1">
        <x:f t="shared" si="0"/>
        <x:v>5</x:v>
      </x:c>
      <x:c r="B19" t="str">
        <x:f>IF(VLOOKUP($A19,Assets!$A:$C,2,FALSE)=0,"",VLOOKUP($A19,Assets!$A:$C,2,FALSE))</x:f>
      </x:c>
      <x:c r="C19" t="str">
        <x:f>IF(VLOOKUP($A19,Assets!$A:$C,3,FALSE)=0,"",VLOOKUP($A19,Assets!$A:$C,3,FALSE))</x:f>
      </x:c>
      <x:c r="D19" s="16">
        <x:v>1</x:v>
      </x:c>
      <x:c r="E19" s="20" t="str">
        <x:f>_xlfn.IFNA(VLOOKUP(_xlfn.CONCAT("T",E$1,"V",$D19,"A",$A19),Vulnerabilities!$G:$G,1,FALSE),"")</x:f>
      </x:c>
      <x:c r="F19" s="20" t="str">
        <x:f>_xlfn.IFNA(VLOOKUP(_xlfn.CONCAT("T",F$1,"V",$D19,"A",$A19),Vulnerabilities!$G:$G,1,FALSE),"")</x:f>
      </x:c>
      <x:c r="G19" s="20" t="str">
        <x:f>_xlfn.IFNA(VLOOKUP(_xlfn.CONCAT("T",G$1,"V",$D19,"A",$A19),Vulnerabilities!$G:$G,1,FALSE),"")</x:f>
      </x:c>
      <x:c r="H19" s="20" t="str">
        <x:f>_xlfn.IFNA(VLOOKUP(_xlfn.CONCAT("T",H$1,"V",$D19,"A",$A19),Vulnerabilities!$G:$G,1,FALSE),"")</x:f>
      </x:c>
      <x:c r="I19" s="20" t="str">
        <x:f>_xlfn.IFNA(VLOOKUP(_xlfn.CONCAT("T",I$1,"V",$D19,"A",$A19),Vulnerabilities!$G:$G,1,FALSE),"")</x:f>
      </x:c>
      <x:c r="J19" s="20" t="str">
        <x:f>_xlfn.IFNA(VLOOKUP(_xlfn.CONCAT("T",J$1,"V",$D19,"A",$A19),Vulnerabilities!$G:$G,1,FALSE),"")</x:f>
      </x:c>
      <x:c r="K19" s="20" t="str">
        <x:f>_xlfn.IFNA(VLOOKUP(_xlfn.CONCAT("T",K$1,"V",$D19,"A",$A19),Vulnerabilities!$G:$G,1,FALSE),"")</x:f>
      </x:c>
      <x:c r="L19" s="20" t="str">
        <x:f>_xlfn.IFNA(VLOOKUP(_xlfn.CONCAT("T",L$1,"V",$D19,"A",$A19),Vulnerabilities!$G:$G,1,FALSE),"")</x:f>
      </x:c>
      <x:c r="M19" s="20" t="str">
        <x:f>_xlfn.IFNA(VLOOKUP(_xlfn.CONCAT("T",M$1,"V",$D19,"A",$A19),Vulnerabilities!$G:$G,1,FALSE),"")</x:f>
      </x:c>
      <x:c r="N19" s="20" t="str">
        <x:f>_xlfn.IFNA(VLOOKUP(_xlfn.CONCAT("T",N$1,"V",$D19,"A",$A19),Vulnerabilities!$G:$G,1,FALSE),"")</x:f>
      </x:c>
      <x:c r="O19" s="20" t="str">
        <x:f>_xlfn.IFNA(VLOOKUP(_xlfn.CONCAT("T",O$1,"V",$D19,"A",$A19),Vulnerabilities!$G:$G,1,FALSE),"")</x:f>
      </x:c>
      <x:c r="P19" s="16" t="str">
        <x:f>_xlfn.IFNA(VLOOKUP(_xlfn.CONCAT("T",P$1,"V",$D19,"A",$A19),Vulnerabilities!$G:$G,1,FALSE),"")</x:f>
      </x:c>
    </x:row>
    <x:row r="20">
      <x:c r="A20" s="1">
        <x:f t="shared" si="0"/>
        <x:v>5</x:v>
      </x:c>
      <x:c r="B20" t="str">
        <x:f>IF(VLOOKUP($A20,Assets!$A:$C,2,FALSE)=0,"",VLOOKUP($A20,Assets!$A:$C,2,FALSE))</x:f>
      </x:c>
      <x:c r="C20" t="str">
        <x:f>IF(VLOOKUP($A20,Assets!$A:$C,3,FALSE)=0,"",VLOOKUP($A20,Assets!$A:$C,3,FALSE))</x:f>
      </x:c>
      <x:c r="D20" s="16">
        <x:v>2</x:v>
      </x:c>
      <x:c r="E20" s="20" t="str">
        <x:f>_xlfn.IFNA(VLOOKUP(_xlfn.CONCAT("T",E$1,"V",$D20,"A",$A20),Vulnerabilities!$G:$G,1,FALSE),"")</x:f>
      </x:c>
      <x:c r="F20" s="20" t="str">
        <x:f>_xlfn.IFNA(VLOOKUP(_xlfn.CONCAT("T",F$1,"V",$D20,"A",$A20),Vulnerabilities!$G:$G,1,FALSE),"")</x:f>
      </x:c>
      <x:c r="G20" s="20" t="str">
        <x:f>_xlfn.IFNA(VLOOKUP(_xlfn.CONCAT("T",G$1,"V",$D20,"A",$A20),Vulnerabilities!$G:$G,1,FALSE),"")</x:f>
      </x:c>
      <x:c r="H20" s="20" t="str">
        <x:f>_xlfn.IFNA(VLOOKUP(_xlfn.CONCAT("T",H$1,"V",$D20,"A",$A20),Vulnerabilities!$G:$G,1,FALSE),"")</x:f>
      </x:c>
      <x:c r="I20" s="20" t="str">
        <x:f>_xlfn.IFNA(VLOOKUP(_xlfn.CONCAT("T",I$1,"V",$D20,"A",$A20),Vulnerabilities!$G:$G,1,FALSE),"")</x:f>
      </x:c>
      <x:c r="J20" s="20" t="str">
        <x:f>_xlfn.IFNA(VLOOKUP(_xlfn.CONCAT("T",J$1,"V",$D20,"A",$A20),Vulnerabilities!$G:$G,1,FALSE),"")</x:f>
      </x:c>
      <x:c r="K20" s="20" t="str">
        <x:f>_xlfn.IFNA(VLOOKUP(_xlfn.CONCAT("T",K$1,"V",$D20,"A",$A20),Vulnerabilities!$G:$G,1,FALSE),"")</x:f>
      </x:c>
      <x:c r="L20" s="20" t="str">
        <x:f>_xlfn.IFNA(VLOOKUP(_xlfn.CONCAT("T",L$1,"V",$D20,"A",$A20),Vulnerabilities!$G:$G,1,FALSE),"")</x:f>
      </x:c>
      <x:c r="M20" s="20" t="str">
        <x:f>_xlfn.IFNA(VLOOKUP(_xlfn.CONCAT("T",M$1,"V",$D20,"A",$A20),Vulnerabilities!$G:$G,1,FALSE),"")</x:f>
      </x:c>
      <x:c r="N20" s="20" t="str">
        <x:f>_xlfn.IFNA(VLOOKUP(_xlfn.CONCAT("T",N$1,"V",$D20,"A",$A20),Vulnerabilities!$G:$G,1,FALSE),"")</x:f>
      </x:c>
      <x:c r="O20" s="20" t="str">
        <x:f>_xlfn.IFNA(VLOOKUP(_xlfn.CONCAT("T",O$1,"V",$D20,"A",$A20),Vulnerabilities!$G:$G,1,FALSE),"")</x:f>
      </x:c>
      <x:c r="P20" s="16" t="str">
        <x:f>_xlfn.IFNA(VLOOKUP(_xlfn.CONCAT("T",P$1,"V",$D20,"A",$A20),Vulnerabilities!$G:$G,1,FALSE),"")</x:f>
      </x:c>
    </x:row>
    <x:row r="21">
      <x:c r="A21" s="1">
        <x:f t="shared" si="0"/>
        <x:v>5</x:v>
      </x:c>
      <x:c r="B21" t="str">
        <x:f>IF(VLOOKUP($A21,Assets!$A:$C,2,FALSE)=0,"",VLOOKUP($A21,Assets!$A:$C,2,FALSE))</x:f>
      </x:c>
      <x:c r="C21" t="str">
        <x:f>IF(VLOOKUP($A21,Assets!$A:$C,3,FALSE)=0,"",VLOOKUP($A21,Assets!$A:$C,3,FALSE))</x:f>
      </x:c>
      <x:c r="D21" s="16">
        <x:v>3</x:v>
      </x:c>
      <x:c r="E21" s="20" t="str">
        <x:f>_xlfn.IFNA(VLOOKUP(_xlfn.CONCAT("T",E$1,"V",$D21,"A",$A21),Vulnerabilities!$G:$G,1,FALSE),"")</x:f>
      </x:c>
      <x:c r="F21" s="20" t="str">
        <x:f>_xlfn.IFNA(VLOOKUP(_xlfn.CONCAT("T",F$1,"V",$D21,"A",$A21),Vulnerabilities!$G:$G,1,FALSE),"")</x:f>
      </x:c>
      <x:c r="G21" s="20" t="str">
        <x:f>_xlfn.IFNA(VLOOKUP(_xlfn.CONCAT("T",G$1,"V",$D21,"A",$A21),Vulnerabilities!$G:$G,1,FALSE),"")</x:f>
      </x:c>
      <x:c r="H21" s="20" t="str">
        <x:f>_xlfn.IFNA(VLOOKUP(_xlfn.CONCAT("T",H$1,"V",$D21,"A",$A21),Vulnerabilities!$G:$G,1,FALSE),"")</x:f>
      </x:c>
      <x:c r="I21" s="20" t="str">
        <x:f>_xlfn.IFNA(VLOOKUP(_xlfn.CONCAT("T",I$1,"V",$D21,"A",$A21),Vulnerabilities!$G:$G,1,FALSE),"")</x:f>
      </x:c>
      <x:c r="J21" s="20" t="str">
        <x:f>_xlfn.IFNA(VLOOKUP(_xlfn.CONCAT("T",J$1,"V",$D21,"A",$A21),Vulnerabilities!$G:$G,1,FALSE),"")</x:f>
      </x:c>
      <x:c r="K21" s="20" t="str">
        <x:f>_xlfn.IFNA(VLOOKUP(_xlfn.CONCAT("T",K$1,"V",$D21,"A",$A21),Vulnerabilities!$G:$G,1,FALSE),"")</x:f>
      </x:c>
      <x:c r="L21" s="20" t="str">
        <x:f>_xlfn.IFNA(VLOOKUP(_xlfn.CONCAT("T",L$1,"V",$D21,"A",$A21),Vulnerabilities!$G:$G,1,FALSE),"")</x:f>
      </x:c>
      <x:c r="M21" s="20" t="str">
        <x:f>_xlfn.IFNA(VLOOKUP(_xlfn.CONCAT("T",M$1,"V",$D21,"A",$A21),Vulnerabilities!$G:$G,1,FALSE),"")</x:f>
      </x:c>
      <x:c r="N21" s="20" t="str">
        <x:f>_xlfn.IFNA(VLOOKUP(_xlfn.CONCAT("T",N$1,"V",$D21,"A",$A21),Vulnerabilities!$G:$G,1,FALSE),"")</x:f>
      </x:c>
      <x:c r="O21" s="20" t="str">
        <x:f>_xlfn.IFNA(VLOOKUP(_xlfn.CONCAT("T",O$1,"V",$D21,"A",$A21),Vulnerabilities!$G:$G,1,FALSE),"")</x:f>
      </x:c>
      <x:c r="P21" s="16" t="str">
        <x:f>_xlfn.IFNA(VLOOKUP(_xlfn.CONCAT("T",P$1,"V",$D21,"A",$A21),Vulnerabilities!$G:$G,1,FALSE),"")</x:f>
      </x:c>
    </x:row>
    <x:row r="22">
      <x:c r="A22" s="11">
        <x:f t="shared" si="0"/>
        <x:v>5</x:v>
      </x:c>
      <x:c r="B22" s="12" t="str">
        <x:f>IF(VLOOKUP($A22,Assets!$A:$C,2,FALSE)=0,"",VLOOKUP($A22,Assets!$A:$C,2,FALSE))</x:f>
      </x:c>
      <x:c r="C22" s="12" t="str">
        <x:f>IF(VLOOKUP($A22,Assets!$A:$C,3,FALSE)=0,"",VLOOKUP($A22,Assets!$A:$C,3,FALSE))</x:f>
      </x:c>
      <x:c r="D22" s="17">
        <x:v>4</x:v>
      </x:c>
      <x:c r="E22" s="21" t="str">
        <x:f>_xlfn.IFNA(VLOOKUP(_xlfn.CONCAT("T",E$1,"V",$D22,"A",$A22),Vulnerabilities!$G:$G,1,FALSE),"")</x:f>
      </x:c>
      <x:c r="F22" s="21" t="str">
        <x:f>_xlfn.IFNA(VLOOKUP(_xlfn.CONCAT("T",F$1,"V",$D22,"A",$A22),Vulnerabilities!$G:$G,1,FALSE),"")</x:f>
      </x:c>
      <x:c r="G22" s="21" t="str">
        <x:f>_xlfn.IFNA(VLOOKUP(_xlfn.CONCAT("T",G$1,"V",$D22,"A",$A22),Vulnerabilities!$G:$G,1,FALSE),"")</x:f>
      </x:c>
      <x:c r="H22" s="21" t="str">
        <x:f>_xlfn.IFNA(VLOOKUP(_xlfn.CONCAT("T",H$1,"V",$D22,"A",$A22),Vulnerabilities!$G:$G,1,FALSE),"")</x:f>
      </x:c>
      <x:c r="I22" s="21" t="str">
        <x:f>_xlfn.IFNA(VLOOKUP(_xlfn.CONCAT("T",I$1,"V",$D22,"A",$A22),Vulnerabilities!$G:$G,1,FALSE),"")</x:f>
      </x:c>
      <x:c r="J22" s="21" t="str">
        <x:f>_xlfn.IFNA(VLOOKUP(_xlfn.CONCAT("T",J$1,"V",$D22,"A",$A22),Vulnerabilities!$G:$G,1,FALSE),"")</x:f>
      </x:c>
      <x:c r="K22" s="21" t="str">
        <x:f>_xlfn.IFNA(VLOOKUP(_xlfn.CONCAT("T",K$1,"V",$D22,"A",$A22),Vulnerabilities!$G:$G,1,FALSE),"")</x:f>
      </x:c>
      <x:c r="L22" s="21" t="str">
        <x:f>_xlfn.IFNA(VLOOKUP(_xlfn.CONCAT("T",L$1,"V",$D22,"A",$A22),Vulnerabilities!$G:$G,1,FALSE),"")</x:f>
      </x:c>
      <x:c r="M22" s="21" t="str">
        <x:f>_xlfn.IFNA(VLOOKUP(_xlfn.CONCAT("T",M$1,"V",$D22,"A",$A22),Vulnerabilities!$G:$G,1,FALSE),"")</x:f>
      </x:c>
      <x:c r="N22" s="21" t="str">
        <x:f>_xlfn.IFNA(VLOOKUP(_xlfn.CONCAT("T",N$1,"V",$D22,"A",$A22),Vulnerabilities!$G:$G,1,FALSE),"")</x:f>
      </x:c>
      <x:c r="O22" s="21" t="str">
        <x:f>_xlfn.IFNA(VLOOKUP(_xlfn.CONCAT("T",O$1,"V",$D22,"A",$A22),Vulnerabilities!$G:$G,1,FALSE),"")</x:f>
      </x:c>
      <x:c r="P22" s="17" t="str">
        <x:f>_xlfn.IFNA(VLOOKUP(_xlfn.CONCAT("T",P$1,"V",$D22,"A",$A22),Vulnerabilities!$G:$G,1,FALSE),"")</x:f>
      </x:c>
    </x:row>
    <x:row r="23">
      <x:c r="A23" s="1">
        <x:f t="shared" si="0"/>
        <x:v>6</x:v>
      </x:c>
      <x:c r="B23" t="str">
        <x:f>IF(VLOOKUP($A23,Assets!$A:$C,2,FALSE)=0,"",VLOOKUP($A23,Assets!$A:$C,2,FALSE))</x:f>
      </x:c>
      <x:c r="C23" t="str">
        <x:f>IF(VLOOKUP($A23,Assets!$A:$C,3,FALSE)=0,"",VLOOKUP($A23,Assets!$A:$C,3,FALSE))</x:f>
      </x:c>
      <x:c r="D23" s="16">
        <x:v>1</x:v>
      </x:c>
      <x:c r="E23" s="20" t="str">
        <x:f>_xlfn.IFNA(VLOOKUP(_xlfn.CONCAT("T",E$1,"V",$D23,"A",$A23),Vulnerabilities!$G:$G,1,FALSE),"")</x:f>
      </x:c>
      <x:c r="F23" s="20" t="str">
        <x:f>_xlfn.IFNA(VLOOKUP(_xlfn.CONCAT("T",F$1,"V",$D23,"A",$A23),Vulnerabilities!$G:$G,1,FALSE),"")</x:f>
      </x:c>
      <x:c r="G23" s="20" t="str">
        <x:f>_xlfn.IFNA(VLOOKUP(_xlfn.CONCAT("T",G$1,"V",$D23,"A",$A23),Vulnerabilities!$G:$G,1,FALSE),"")</x:f>
      </x:c>
      <x:c r="H23" s="20" t="str">
        <x:f>_xlfn.IFNA(VLOOKUP(_xlfn.CONCAT("T",H$1,"V",$D23,"A",$A23),Vulnerabilities!$G:$G,1,FALSE),"")</x:f>
      </x:c>
      <x:c r="I23" s="20" t="str">
        <x:f>_xlfn.IFNA(VLOOKUP(_xlfn.CONCAT("T",I$1,"V",$D23,"A",$A23),Vulnerabilities!$G:$G,1,FALSE),"")</x:f>
      </x:c>
      <x:c r="J23" s="20" t="str">
        <x:f>_xlfn.IFNA(VLOOKUP(_xlfn.CONCAT("T",J$1,"V",$D23,"A",$A23),Vulnerabilities!$G:$G,1,FALSE),"")</x:f>
      </x:c>
      <x:c r="K23" s="20" t="str">
        <x:f>_xlfn.IFNA(VLOOKUP(_xlfn.CONCAT("T",K$1,"V",$D23,"A",$A23),Vulnerabilities!$G:$G,1,FALSE),"")</x:f>
      </x:c>
      <x:c r="L23" s="20" t="str">
        <x:f>_xlfn.IFNA(VLOOKUP(_xlfn.CONCAT("T",L$1,"V",$D23,"A",$A23),Vulnerabilities!$G:$G,1,FALSE),"")</x:f>
      </x:c>
      <x:c r="M23" s="20" t="str">
        <x:f>_xlfn.IFNA(VLOOKUP(_xlfn.CONCAT("T",M$1,"V",$D23,"A",$A23),Vulnerabilities!$G:$G,1,FALSE),"")</x:f>
      </x:c>
      <x:c r="N23" s="20" t="str">
        <x:f>_xlfn.IFNA(VLOOKUP(_xlfn.CONCAT("T",N$1,"V",$D23,"A",$A23),Vulnerabilities!$G:$G,1,FALSE),"")</x:f>
      </x:c>
      <x:c r="O23" s="20" t="str">
        <x:f>_xlfn.IFNA(VLOOKUP(_xlfn.CONCAT("T",O$1,"V",$D23,"A",$A23),Vulnerabilities!$G:$G,1,FALSE),"")</x:f>
      </x:c>
      <x:c r="P23" s="16" t="str">
        <x:f>_xlfn.IFNA(VLOOKUP(_xlfn.CONCAT("T",P$1,"V",$D23,"A",$A23),Vulnerabilities!$G:$G,1,FALSE),"")</x:f>
      </x:c>
    </x:row>
    <x:row r="24">
      <x:c r="A24" s="1">
        <x:f t="shared" si="0"/>
        <x:v>6</x:v>
      </x:c>
      <x:c r="B24" t="str">
        <x:f>IF(VLOOKUP($A24,Assets!$A:$C,2,FALSE)=0,"",VLOOKUP($A24,Assets!$A:$C,2,FALSE))</x:f>
      </x:c>
      <x:c r="C24" t="str">
        <x:f>IF(VLOOKUP($A24,Assets!$A:$C,3,FALSE)=0,"",VLOOKUP($A24,Assets!$A:$C,3,FALSE))</x:f>
      </x:c>
      <x:c r="D24" s="16">
        <x:v>2</x:v>
      </x:c>
      <x:c r="E24" s="20" t="str">
        <x:f>_xlfn.IFNA(VLOOKUP(_xlfn.CONCAT("T",E$1,"V",$D24,"A",$A24),Vulnerabilities!$G:$G,1,FALSE),"")</x:f>
      </x:c>
      <x:c r="F24" s="20" t="str">
        <x:f>_xlfn.IFNA(VLOOKUP(_xlfn.CONCAT("T",F$1,"V",$D24,"A",$A24),Vulnerabilities!$G:$G,1,FALSE),"")</x:f>
      </x:c>
      <x:c r="G24" s="20" t="str">
        <x:f>_xlfn.IFNA(VLOOKUP(_xlfn.CONCAT("T",G$1,"V",$D24,"A",$A24),Vulnerabilities!$G:$G,1,FALSE),"")</x:f>
      </x:c>
      <x:c r="H24" s="20" t="str">
        <x:f>_xlfn.IFNA(VLOOKUP(_xlfn.CONCAT("T",H$1,"V",$D24,"A",$A24),Vulnerabilities!$G:$G,1,FALSE),"")</x:f>
      </x:c>
      <x:c r="I24" s="20" t="str">
        <x:f>_xlfn.IFNA(VLOOKUP(_xlfn.CONCAT("T",I$1,"V",$D24,"A",$A24),Vulnerabilities!$G:$G,1,FALSE),"")</x:f>
      </x:c>
      <x:c r="J24" s="20" t="str">
        <x:f>_xlfn.IFNA(VLOOKUP(_xlfn.CONCAT("T",J$1,"V",$D24,"A",$A24),Vulnerabilities!$G:$G,1,FALSE),"")</x:f>
      </x:c>
      <x:c r="K24" s="20" t="str">
        <x:f>_xlfn.IFNA(VLOOKUP(_xlfn.CONCAT("T",K$1,"V",$D24,"A",$A24),Vulnerabilities!$G:$G,1,FALSE),"")</x:f>
      </x:c>
      <x:c r="L24" s="20" t="str">
        <x:f>_xlfn.IFNA(VLOOKUP(_xlfn.CONCAT("T",L$1,"V",$D24,"A",$A24),Vulnerabilities!$G:$G,1,FALSE),"")</x:f>
      </x:c>
      <x:c r="M24" s="20" t="str">
        <x:f>_xlfn.IFNA(VLOOKUP(_xlfn.CONCAT("T",M$1,"V",$D24,"A",$A24),Vulnerabilities!$G:$G,1,FALSE),"")</x:f>
      </x:c>
      <x:c r="N24" s="20" t="str">
        <x:f>_xlfn.IFNA(VLOOKUP(_xlfn.CONCAT("T",N$1,"V",$D24,"A",$A24),Vulnerabilities!$G:$G,1,FALSE),"")</x:f>
      </x:c>
      <x:c r="O24" s="20" t="str">
        <x:f>_xlfn.IFNA(VLOOKUP(_xlfn.CONCAT("T",O$1,"V",$D24,"A",$A24),Vulnerabilities!$G:$G,1,FALSE),"")</x:f>
      </x:c>
      <x:c r="P24" s="16" t="str">
        <x:f>_xlfn.IFNA(VLOOKUP(_xlfn.CONCAT("T",P$1,"V",$D24,"A",$A24),Vulnerabilities!$G:$G,1,FALSE),"")</x:f>
      </x:c>
    </x:row>
    <x:row r="25">
      <x:c r="A25" s="1">
        <x:f t="shared" si="0"/>
        <x:v>6</x:v>
      </x:c>
      <x:c r="B25" t="str">
        <x:f>IF(VLOOKUP($A25,Assets!$A:$C,2,FALSE)=0,"",VLOOKUP($A25,Assets!$A:$C,2,FALSE))</x:f>
      </x:c>
      <x:c r="C25" t="str">
        <x:f>IF(VLOOKUP($A25,Assets!$A:$C,3,FALSE)=0,"",VLOOKUP($A25,Assets!$A:$C,3,FALSE))</x:f>
      </x:c>
      <x:c r="D25" s="16">
        <x:v>3</x:v>
      </x:c>
      <x:c r="E25" s="20" t="str">
        <x:f>_xlfn.IFNA(VLOOKUP(_xlfn.CONCAT("T",E$1,"V",$D25,"A",$A25),Vulnerabilities!$G:$G,1,FALSE),"")</x:f>
      </x:c>
      <x:c r="F25" s="20" t="str">
        <x:f>_xlfn.IFNA(VLOOKUP(_xlfn.CONCAT("T",F$1,"V",$D25,"A",$A25),Vulnerabilities!$G:$G,1,FALSE),"")</x:f>
      </x:c>
      <x:c r="G25" s="20" t="str">
        <x:f>_xlfn.IFNA(VLOOKUP(_xlfn.CONCAT("T",G$1,"V",$D25,"A",$A25),Vulnerabilities!$G:$G,1,FALSE),"")</x:f>
      </x:c>
      <x:c r="H25" s="20" t="str">
        <x:f>_xlfn.IFNA(VLOOKUP(_xlfn.CONCAT("T",H$1,"V",$D25,"A",$A25),Vulnerabilities!$G:$G,1,FALSE),"")</x:f>
      </x:c>
      <x:c r="I25" s="20" t="str">
        <x:f>_xlfn.IFNA(VLOOKUP(_xlfn.CONCAT("T",I$1,"V",$D25,"A",$A25),Vulnerabilities!$G:$G,1,FALSE),"")</x:f>
      </x:c>
      <x:c r="J25" s="20" t="str">
        <x:f>_xlfn.IFNA(VLOOKUP(_xlfn.CONCAT("T",J$1,"V",$D25,"A",$A25),Vulnerabilities!$G:$G,1,FALSE),"")</x:f>
      </x:c>
      <x:c r="K25" s="20" t="str">
        <x:f>_xlfn.IFNA(VLOOKUP(_xlfn.CONCAT("T",K$1,"V",$D25,"A",$A25),Vulnerabilities!$G:$G,1,FALSE),"")</x:f>
      </x:c>
      <x:c r="L25" s="20" t="str">
        <x:f>_xlfn.IFNA(VLOOKUP(_xlfn.CONCAT("T",L$1,"V",$D25,"A",$A25),Vulnerabilities!$G:$G,1,FALSE),"")</x:f>
      </x:c>
      <x:c r="M25" s="20" t="str">
        <x:f>_xlfn.IFNA(VLOOKUP(_xlfn.CONCAT("T",M$1,"V",$D25,"A",$A25),Vulnerabilities!$G:$G,1,FALSE),"")</x:f>
      </x:c>
      <x:c r="N25" s="20" t="str">
        <x:f>_xlfn.IFNA(VLOOKUP(_xlfn.CONCAT("T",N$1,"V",$D25,"A",$A25),Vulnerabilities!$G:$G,1,FALSE),"")</x:f>
      </x:c>
      <x:c r="O25" s="20" t="str">
        <x:f>_xlfn.IFNA(VLOOKUP(_xlfn.CONCAT("T",O$1,"V",$D25,"A",$A25),Vulnerabilities!$G:$G,1,FALSE),"")</x:f>
      </x:c>
      <x:c r="P25" s="16" t="str">
        <x:f>_xlfn.IFNA(VLOOKUP(_xlfn.CONCAT("T",P$1,"V",$D25,"A",$A25),Vulnerabilities!$G:$G,1,FALSE),"")</x:f>
      </x:c>
    </x:row>
    <x:row r="26">
      <x:c r="A26" s="11">
        <x:f t="shared" si="0"/>
        <x:v>6</x:v>
      </x:c>
      <x:c r="B26" s="12" t="str">
        <x:f>IF(VLOOKUP($A26,Assets!$A:$C,2,FALSE)=0,"",VLOOKUP($A26,Assets!$A:$C,2,FALSE))</x:f>
      </x:c>
      <x:c r="C26" s="12" t="str">
        <x:f>IF(VLOOKUP($A26,Assets!$A:$C,3,FALSE)=0,"",VLOOKUP($A26,Assets!$A:$C,3,FALSE))</x:f>
      </x:c>
      <x:c r="D26" s="17">
        <x:v>4</x:v>
      </x:c>
      <x:c r="E26" s="21" t="str">
        <x:f>_xlfn.IFNA(VLOOKUP(_xlfn.CONCAT("T",E$1,"V",$D26,"A",$A26),Vulnerabilities!$G:$G,1,FALSE),"")</x:f>
      </x:c>
      <x:c r="F26" s="21" t="str">
        <x:f>_xlfn.IFNA(VLOOKUP(_xlfn.CONCAT("T",F$1,"V",$D26,"A",$A26),Vulnerabilities!$G:$G,1,FALSE),"")</x:f>
      </x:c>
      <x:c r="G26" s="21" t="str">
        <x:f>_xlfn.IFNA(VLOOKUP(_xlfn.CONCAT("T",G$1,"V",$D26,"A",$A26),Vulnerabilities!$G:$G,1,FALSE),"")</x:f>
      </x:c>
      <x:c r="H26" s="21" t="str">
        <x:f>_xlfn.IFNA(VLOOKUP(_xlfn.CONCAT("T",H$1,"V",$D26,"A",$A26),Vulnerabilities!$G:$G,1,FALSE),"")</x:f>
      </x:c>
      <x:c r="I26" s="21" t="str">
        <x:f>_xlfn.IFNA(VLOOKUP(_xlfn.CONCAT("T",I$1,"V",$D26,"A",$A26),Vulnerabilities!$G:$G,1,FALSE),"")</x:f>
      </x:c>
      <x:c r="J26" s="21" t="str">
        <x:f>_xlfn.IFNA(VLOOKUP(_xlfn.CONCAT("T",J$1,"V",$D26,"A",$A26),Vulnerabilities!$G:$G,1,FALSE),"")</x:f>
      </x:c>
      <x:c r="K26" s="21" t="str">
        <x:f>_xlfn.IFNA(VLOOKUP(_xlfn.CONCAT("T",K$1,"V",$D26,"A",$A26),Vulnerabilities!$G:$G,1,FALSE),"")</x:f>
      </x:c>
      <x:c r="L26" s="21" t="str">
        <x:f>_xlfn.IFNA(VLOOKUP(_xlfn.CONCAT("T",L$1,"V",$D26,"A",$A26),Vulnerabilities!$G:$G,1,FALSE),"")</x:f>
      </x:c>
      <x:c r="M26" s="21" t="str">
        <x:f>_xlfn.IFNA(VLOOKUP(_xlfn.CONCAT("T",M$1,"V",$D26,"A",$A26),Vulnerabilities!$G:$G,1,FALSE),"")</x:f>
      </x:c>
      <x:c r="N26" s="21" t="str">
        <x:f>_xlfn.IFNA(VLOOKUP(_xlfn.CONCAT("T",N$1,"V",$D26,"A",$A26),Vulnerabilities!$G:$G,1,FALSE),"")</x:f>
      </x:c>
      <x:c r="O26" s="21" t="str">
        <x:f>_xlfn.IFNA(VLOOKUP(_xlfn.CONCAT("T",O$1,"V",$D26,"A",$A26),Vulnerabilities!$G:$G,1,FALSE),"")</x:f>
      </x:c>
      <x:c r="P26" s="17" t="str">
        <x:f>_xlfn.IFNA(VLOOKUP(_xlfn.CONCAT("T",P$1,"V",$D26,"A",$A26),Vulnerabilities!$G:$G,1,FALSE),"")</x:f>
      </x:c>
    </x:row>
    <x:row r="27">
      <x:c r="A27" s="1" t="n">
        <x:f t="shared" ref="A27:A90" si="1">A23+1</x:f>
        <x:v>7</x:v>
      </x:c>
      <x:c r="B27" t="str">
        <x:f>IF(VLOOKUP($A27,Assets!$A:$C,2,FALSE)=0,"",VLOOKUP($A27,Assets!$A:$C,2,FALSE))</x:f>
      </x:c>
      <x:c r="C27" t="str">
        <x:f>IF(VLOOKUP($A27,Assets!$A:$C,3,FALSE)=0,"",VLOOKUP($A27,Assets!$A:$C,3,FALSE))</x:f>
      </x:c>
      <x:c r="D27" s="16">
        <x:v>1</x:v>
      </x:c>
      <x:c r="E27" s="20" t="str">
        <x:f>_xlfn.IFNA(VLOOKUP(_xlfn.CONCAT("T",E$1,"V",$D27,"A",$A27),Vulnerabilities!$G:$G,1,FALSE),"")</x:f>
      </x:c>
      <x:c r="F27" s="20" t="str">
        <x:f>_xlfn.IFNA(VLOOKUP(_xlfn.CONCAT("T",F$1,"V",$D27,"A",$A27),Vulnerabilities!$G:$G,1,FALSE),"")</x:f>
      </x:c>
      <x:c r="G27" s="20" t="str">
        <x:f>_xlfn.IFNA(VLOOKUP(_xlfn.CONCAT("T",G$1,"V",$D27,"A",$A27),Vulnerabilities!$G:$G,1,FALSE),"")</x:f>
      </x:c>
      <x:c r="H27" s="20" t="str">
        <x:f>_xlfn.IFNA(VLOOKUP(_xlfn.CONCAT("T",H$1,"V",$D27,"A",$A27),Vulnerabilities!$G:$G,1,FALSE),"")</x:f>
      </x:c>
      <x:c r="I27" s="20" t="str">
        <x:f>_xlfn.IFNA(VLOOKUP(_xlfn.CONCAT("T",I$1,"V",$D27,"A",$A27),Vulnerabilities!$G:$G,1,FALSE),"")</x:f>
      </x:c>
      <x:c r="J27" s="20" t="str">
        <x:f>_xlfn.IFNA(VLOOKUP(_xlfn.CONCAT("T",J$1,"V",$D27,"A",$A27),Vulnerabilities!$G:$G,1,FALSE),"")</x:f>
      </x:c>
      <x:c r="K27" s="20" t="str">
        <x:f>_xlfn.IFNA(VLOOKUP(_xlfn.CONCAT("T",K$1,"V",$D27,"A",$A27),Vulnerabilities!$G:$G,1,FALSE),"")</x:f>
      </x:c>
      <x:c r="L27" s="20" t="str">
        <x:f>_xlfn.IFNA(VLOOKUP(_xlfn.CONCAT("T",L$1,"V",$D27,"A",$A27),Vulnerabilities!$G:$G,1,FALSE),"")</x:f>
      </x:c>
      <x:c r="M27" s="20" t="str">
        <x:f>_xlfn.IFNA(VLOOKUP(_xlfn.CONCAT("T",M$1,"V",$D27,"A",$A27),Vulnerabilities!$G:$G,1,FALSE),"")</x:f>
      </x:c>
      <x:c r="N27" s="20" t="str">
        <x:f>_xlfn.IFNA(VLOOKUP(_xlfn.CONCAT("T",N$1,"V",$D27,"A",$A27),Vulnerabilities!$G:$G,1,FALSE),"")</x:f>
      </x:c>
      <x:c r="O27" s="20" t="str">
        <x:f>_xlfn.IFNA(VLOOKUP(_xlfn.CONCAT("T",O$1,"V",$D27,"A",$A27),Vulnerabilities!$G:$G,1,FALSE),"")</x:f>
      </x:c>
      <x:c r="P27" s="16" t="str">
        <x:f>_xlfn.IFNA(VLOOKUP(_xlfn.CONCAT("T",P$1,"V",$D27,"A",$A27),Vulnerabilities!$G:$G,1,FALSE),"")</x:f>
      </x:c>
    </x:row>
    <x:row r="28">
      <x:c r="A28" s="1">
        <x:f t="shared" si="1"/>
        <x:v>7</x:v>
      </x:c>
      <x:c r="B28" t="str">
        <x:f>IF(VLOOKUP($A28,Assets!$A:$C,2,FALSE)=0,"",VLOOKUP($A28,Assets!$A:$C,2,FALSE))</x:f>
      </x:c>
      <x:c r="C28" t="str">
        <x:f>IF(VLOOKUP($A28,Assets!$A:$C,3,FALSE)=0,"",VLOOKUP($A28,Assets!$A:$C,3,FALSE))</x:f>
      </x:c>
      <x:c r="D28" s="16">
        <x:v>2</x:v>
      </x:c>
      <x:c r="E28" s="20" t="str">
        <x:f>_xlfn.IFNA(VLOOKUP(_xlfn.CONCAT("T",E$1,"V",$D28,"A",$A28),Vulnerabilities!$G:$G,1,FALSE),"")</x:f>
      </x:c>
      <x:c r="F28" s="20" t="str">
        <x:f>_xlfn.IFNA(VLOOKUP(_xlfn.CONCAT("T",F$1,"V",$D28,"A",$A28),Vulnerabilities!$G:$G,1,FALSE),"")</x:f>
      </x:c>
      <x:c r="G28" s="20" t="str">
        <x:f>_xlfn.IFNA(VLOOKUP(_xlfn.CONCAT("T",G$1,"V",$D28,"A",$A28),Vulnerabilities!$G:$G,1,FALSE),"")</x:f>
      </x:c>
      <x:c r="H28" s="20" t="str">
        <x:f>_xlfn.IFNA(VLOOKUP(_xlfn.CONCAT("T",H$1,"V",$D28,"A",$A28),Vulnerabilities!$G:$G,1,FALSE),"")</x:f>
      </x:c>
      <x:c r="I28" s="20" t="str">
        <x:f>_xlfn.IFNA(VLOOKUP(_xlfn.CONCAT("T",I$1,"V",$D28,"A",$A28),Vulnerabilities!$G:$G,1,FALSE),"")</x:f>
      </x:c>
      <x:c r="J28" s="20" t="str">
        <x:f>_xlfn.IFNA(VLOOKUP(_xlfn.CONCAT("T",J$1,"V",$D28,"A",$A28),Vulnerabilities!$G:$G,1,FALSE),"")</x:f>
      </x:c>
      <x:c r="K28" s="20" t="str">
        <x:f>_xlfn.IFNA(VLOOKUP(_xlfn.CONCAT("T",K$1,"V",$D28,"A",$A28),Vulnerabilities!$G:$G,1,FALSE),"")</x:f>
      </x:c>
      <x:c r="L28" s="20" t="str">
        <x:f>_xlfn.IFNA(VLOOKUP(_xlfn.CONCAT("T",L$1,"V",$D28,"A",$A28),Vulnerabilities!$G:$G,1,FALSE),"")</x:f>
      </x:c>
      <x:c r="M28" s="20" t="str">
        <x:f>_xlfn.IFNA(VLOOKUP(_xlfn.CONCAT("T",M$1,"V",$D28,"A",$A28),Vulnerabilities!$G:$G,1,FALSE),"")</x:f>
      </x:c>
      <x:c r="N28" s="20" t="str">
        <x:f>_xlfn.IFNA(VLOOKUP(_xlfn.CONCAT("T",N$1,"V",$D28,"A",$A28),Vulnerabilities!$G:$G,1,FALSE),"")</x:f>
      </x:c>
      <x:c r="O28" s="20" t="str">
        <x:f>_xlfn.IFNA(VLOOKUP(_xlfn.CONCAT("T",O$1,"V",$D28,"A",$A28),Vulnerabilities!$G:$G,1,FALSE),"")</x:f>
      </x:c>
      <x:c r="P28" s="16" t="str">
        <x:f>_xlfn.IFNA(VLOOKUP(_xlfn.CONCAT("T",P$1,"V",$D28,"A",$A28),Vulnerabilities!$G:$G,1,FALSE),"")</x:f>
      </x:c>
    </x:row>
    <x:row r="29">
      <x:c r="A29" s="1">
        <x:f t="shared" si="1"/>
        <x:v>7</x:v>
      </x:c>
      <x:c r="B29" t="str">
        <x:f>IF(VLOOKUP($A29,Assets!$A:$C,2,FALSE)=0,"",VLOOKUP($A29,Assets!$A:$C,2,FALSE))</x:f>
      </x:c>
      <x:c r="C29" t="str">
        <x:f>IF(VLOOKUP($A29,Assets!$A:$C,3,FALSE)=0,"",VLOOKUP($A29,Assets!$A:$C,3,FALSE))</x:f>
      </x:c>
      <x:c r="D29" s="16">
        <x:v>3</x:v>
      </x:c>
      <x:c r="E29" s="20" t="str">
        <x:f>_xlfn.IFNA(VLOOKUP(_xlfn.CONCAT("T",E$1,"V",$D29,"A",$A29),Vulnerabilities!$G:$G,1,FALSE),"")</x:f>
      </x:c>
      <x:c r="F29" s="20" t="str">
        <x:f>_xlfn.IFNA(VLOOKUP(_xlfn.CONCAT("T",F$1,"V",$D29,"A",$A29),Vulnerabilities!$G:$G,1,FALSE),"")</x:f>
      </x:c>
      <x:c r="G29" s="20" t="str">
        <x:f>_xlfn.IFNA(VLOOKUP(_xlfn.CONCAT("T",G$1,"V",$D29,"A",$A29),Vulnerabilities!$G:$G,1,FALSE),"")</x:f>
      </x:c>
      <x:c r="H29" s="20" t="str">
        <x:f>_xlfn.IFNA(VLOOKUP(_xlfn.CONCAT("T",H$1,"V",$D29,"A",$A29),Vulnerabilities!$G:$G,1,FALSE),"")</x:f>
      </x:c>
      <x:c r="I29" s="20" t="str">
        <x:f>_xlfn.IFNA(VLOOKUP(_xlfn.CONCAT("T",I$1,"V",$D29,"A",$A29),Vulnerabilities!$G:$G,1,FALSE),"")</x:f>
      </x:c>
      <x:c r="J29" s="20" t="str">
        <x:f>_xlfn.IFNA(VLOOKUP(_xlfn.CONCAT("T",J$1,"V",$D29,"A",$A29),Vulnerabilities!$G:$G,1,FALSE),"")</x:f>
      </x:c>
      <x:c r="K29" s="20" t="str">
        <x:f>_xlfn.IFNA(VLOOKUP(_xlfn.CONCAT("T",K$1,"V",$D29,"A",$A29),Vulnerabilities!$G:$G,1,FALSE),"")</x:f>
      </x:c>
      <x:c r="L29" s="20" t="str">
        <x:f>_xlfn.IFNA(VLOOKUP(_xlfn.CONCAT("T",L$1,"V",$D29,"A",$A29),Vulnerabilities!$G:$G,1,FALSE),"")</x:f>
      </x:c>
      <x:c r="M29" s="20" t="str">
        <x:f>_xlfn.IFNA(VLOOKUP(_xlfn.CONCAT("T",M$1,"V",$D29,"A",$A29),Vulnerabilities!$G:$G,1,FALSE),"")</x:f>
      </x:c>
      <x:c r="N29" s="20" t="str">
        <x:f>_xlfn.IFNA(VLOOKUP(_xlfn.CONCAT("T",N$1,"V",$D29,"A",$A29),Vulnerabilities!$G:$G,1,FALSE),"")</x:f>
      </x:c>
      <x:c r="O29" s="20" t="str">
        <x:f>_xlfn.IFNA(VLOOKUP(_xlfn.CONCAT("T",O$1,"V",$D29,"A",$A29),Vulnerabilities!$G:$G,1,FALSE),"")</x:f>
      </x:c>
      <x:c r="P29" s="16" t="str">
        <x:f>_xlfn.IFNA(VLOOKUP(_xlfn.CONCAT("T",P$1,"V",$D29,"A",$A29),Vulnerabilities!$G:$G,1,FALSE),"")</x:f>
      </x:c>
    </x:row>
    <x:row r="30">
      <x:c r="A30" s="11">
        <x:f t="shared" si="1"/>
        <x:v>7</x:v>
      </x:c>
      <x:c r="B30" s="12" t="str">
        <x:f>IF(VLOOKUP($A30,Assets!$A:$C,2,FALSE)=0,"",VLOOKUP($A30,Assets!$A:$C,2,FALSE))</x:f>
      </x:c>
      <x:c r="C30" s="12" t="str">
        <x:f>IF(VLOOKUP($A30,Assets!$A:$C,3,FALSE)=0,"",VLOOKUP($A30,Assets!$A:$C,3,FALSE))</x:f>
      </x:c>
      <x:c r="D30" s="17">
        <x:v>4</x:v>
      </x:c>
      <x:c r="E30" s="21" t="str">
        <x:f>_xlfn.IFNA(VLOOKUP(_xlfn.CONCAT("T",E$1,"V",$D30,"A",$A30),Vulnerabilities!$G:$G,1,FALSE),"")</x:f>
      </x:c>
      <x:c r="F30" s="21" t="str">
        <x:f>_xlfn.IFNA(VLOOKUP(_xlfn.CONCAT("T",F$1,"V",$D30,"A",$A30),Vulnerabilities!$G:$G,1,FALSE),"")</x:f>
      </x:c>
      <x:c r="G30" s="21" t="str">
        <x:f>_xlfn.IFNA(VLOOKUP(_xlfn.CONCAT("T",G$1,"V",$D30,"A",$A30),Vulnerabilities!$G:$G,1,FALSE),"")</x:f>
      </x:c>
      <x:c r="H30" s="21" t="str">
        <x:f>_xlfn.IFNA(VLOOKUP(_xlfn.CONCAT("T",H$1,"V",$D30,"A",$A30),Vulnerabilities!$G:$G,1,FALSE),"")</x:f>
      </x:c>
      <x:c r="I30" s="21" t="str">
        <x:f>_xlfn.IFNA(VLOOKUP(_xlfn.CONCAT("T",I$1,"V",$D30,"A",$A30),Vulnerabilities!$G:$G,1,FALSE),"")</x:f>
      </x:c>
      <x:c r="J30" s="21" t="str">
        <x:f>_xlfn.IFNA(VLOOKUP(_xlfn.CONCAT("T",J$1,"V",$D30,"A",$A30),Vulnerabilities!$G:$G,1,FALSE),"")</x:f>
      </x:c>
      <x:c r="K30" s="21" t="str">
        <x:f>_xlfn.IFNA(VLOOKUP(_xlfn.CONCAT("T",K$1,"V",$D30,"A",$A30),Vulnerabilities!$G:$G,1,FALSE),"")</x:f>
      </x:c>
      <x:c r="L30" s="21" t="str">
        <x:f>_xlfn.IFNA(VLOOKUP(_xlfn.CONCAT("T",L$1,"V",$D30,"A",$A30),Vulnerabilities!$G:$G,1,FALSE),"")</x:f>
      </x:c>
      <x:c r="M30" s="21" t="str">
        <x:f>_xlfn.IFNA(VLOOKUP(_xlfn.CONCAT("T",M$1,"V",$D30,"A",$A30),Vulnerabilities!$G:$G,1,FALSE),"")</x:f>
      </x:c>
      <x:c r="N30" s="21" t="str">
        <x:f>_xlfn.IFNA(VLOOKUP(_xlfn.CONCAT("T",N$1,"V",$D30,"A",$A30),Vulnerabilities!$G:$G,1,FALSE),"")</x:f>
      </x:c>
      <x:c r="O30" s="21" t="str">
        <x:f>_xlfn.IFNA(VLOOKUP(_xlfn.CONCAT("T",O$1,"V",$D30,"A",$A30),Vulnerabilities!$G:$G,1,FALSE),"")</x:f>
      </x:c>
      <x:c r="P30" s="17" t="str">
        <x:f>_xlfn.IFNA(VLOOKUP(_xlfn.CONCAT("T",P$1,"V",$D30,"A",$A30),Vulnerabilities!$G:$G,1,FALSE),"")</x:f>
      </x:c>
    </x:row>
    <x:row r="31">
      <x:c r="A31" s="1">
        <x:f t="shared" si="1"/>
        <x:v>8</x:v>
      </x:c>
      <x:c r="B31" t="str">
        <x:f>IF(VLOOKUP($A31,Assets!$A:$C,2,FALSE)=0,"",VLOOKUP($A31,Assets!$A:$C,2,FALSE))</x:f>
      </x:c>
      <x:c r="C31" t="str">
        <x:f>IF(VLOOKUP($A31,Assets!$A:$C,3,FALSE)=0,"",VLOOKUP($A31,Assets!$A:$C,3,FALSE))</x:f>
      </x:c>
      <x:c r="D31" s="16">
        <x:v>1</x:v>
      </x:c>
      <x:c r="E31" s="20" t="str">
        <x:f>_xlfn.IFNA(VLOOKUP(_xlfn.CONCAT("T",E$1,"V",$D31,"A",$A31),Vulnerabilities!$G:$G,1,FALSE),"")</x:f>
      </x:c>
      <x:c r="F31" s="20" t="str">
        <x:f>_xlfn.IFNA(VLOOKUP(_xlfn.CONCAT("T",F$1,"V",$D31,"A",$A31),Vulnerabilities!$G:$G,1,FALSE),"")</x:f>
      </x:c>
      <x:c r="G31" s="20" t="str">
        <x:f>_xlfn.IFNA(VLOOKUP(_xlfn.CONCAT("T",G$1,"V",$D31,"A",$A31),Vulnerabilities!$G:$G,1,FALSE),"")</x:f>
      </x:c>
      <x:c r="H31" s="20" t="str">
        <x:f>_xlfn.IFNA(VLOOKUP(_xlfn.CONCAT("T",H$1,"V",$D31,"A",$A31),Vulnerabilities!$G:$G,1,FALSE),"")</x:f>
      </x:c>
      <x:c r="I31" s="20" t="str">
        <x:f>_xlfn.IFNA(VLOOKUP(_xlfn.CONCAT("T",I$1,"V",$D31,"A",$A31),Vulnerabilities!$G:$G,1,FALSE),"")</x:f>
      </x:c>
      <x:c r="J31" s="20" t="str">
        <x:f>_xlfn.IFNA(VLOOKUP(_xlfn.CONCAT("T",J$1,"V",$D31,"A",$A31),Vulnerabilities!$G:$G,1,FALSE),"")</x:f>
      </x:c>
      <x:c r="K31" s="20" t="str">
        <x:f>_xlfn.IFNA(VLOOKUP(_xlfn.CONCAT("T",K$1,"V",$D31,"A",$A31),Vulnerabilities!$G:$G,1,FALSE),"")</x:f>
      </x:c>
      <x:c r="L31" s="20" t="str">
        <x:f>_xlfn.IFNA(VLOOKUP(_xlfn.CONCAT("T",L$1,"V",$D31,"A",$A31),Vulnerabilities!$G:$G,1,FALSE),"")</x:f>
      </x:c>
      <x:c r="M31" s="20" t="str">
        <x:f>_xlfn.IFNA(VLOOKUP(_xlfn.CONCAT("T",M$1,"V",$D31,"A",$A31),Vulnerabilities!$G:$G,1,FALSE),"")</x:f>
      </x:c>
      <x:c r="N31" s="20" t="str">
        <x:f>_xlfn.IFNA(VLOOKUP(_xlfn.CONCAT("T",N$1,"V",$D31,"A",$A31),Vulnerabilities!$G:$G,1,FALSE),"")</x:f>
      </x:c>
      <x:c r="O31" s="20" t="str">
        <x:f>_xlfn.IFNA(VLOOKUP(_xlfn.CONCAT("T",O$1,"V",$D31,"A",$A31),Vulnerabilities!$G:$G,1,FALSE),"")</x:f>
      </x:c>
      <x:c r="P31" s="16" t="str">
        <x:f>_xlfn.IFNA(VLOOKUP(_xlfn.CONCAT("T",P$1,"V",$D31,"A",$A31),Vulnerabilities!$G:$G,1,FALSE),"")</x:f>
      </x:c>
    </x:row>
    <x:row r="32">
      <x:c r="A32" s="1">
        <x:f t="shared" si="1"/>
        <x:v>8</x:v>
      </x:c>
      <x:c r="B32" t="str">
        <x:f>IF(VLOOKUP($A32,Assets!$A:$C,2,FALSE)=0,"",VLOOKUP($A32,Assets!$A:$C,2,FALSE))</x:f>
      </x:c>
      <x:c r="C32" t="str">
        <x:f>IF(VLOOKUP($A32,Assets!$A:$C,3,FALSE)=0,"",VLOOKUP($A32,Assets!$A:$C,3,FALSE))</x:f>
      </x:c>
      <x:c r="D32" s="16">
        <x:v>2</x:v>
      </x:c>
      <x:c r="E32" s="20" t="str">
        <x:f>_xlfn.IFNA(VLOOKUP(_xlfn.CONCAT("T",E$1,"V",$D32,"A",$A32),Vulnerabilities!$G:$G,1,FALSE),"")</x:f>
      </x:c>
      <x:c r="F32" s="20" t="str">
        <x:f>_xlfn.IFNA(VLOOKUP(_xlfn.CONCAT("T",F$1,"V",$D32,"A",$A32),Vulnerabilities!$G:$G,1,FALSE),"")</x:f>
      </x:c>
      <x:c r="G32" s="20" t="str">
        <x:f>_xlfn.IFNA(VLOOKUP(_xlfn.CONCAT("T",G$1,"V",$D32,"A",$A32),Vulnerabilities!$G:$G,1,FALSE),"")</x:f>
      </x:c>
      <x:c r="H32" s="20" t="str">
        <x:f>_xlfn.IFNA(VLOOKUP(_xlfn.CONCAT("T",H$1,"V",$D32,"A",$A32),Vulnerabilities!$G:$G,1,FALSE),"")</x:f>
      </x:c>
      <x:c r="I32" s="20" t="str">
        <x:f>_xlfn.IFNA(VLOOKUP(_xlfn.CONCAT("T",I$1,"V",$D32,"A",$A32),Vulnerabilities!$G:$G,1,FALSE),"")</x:f>
      </x:c>
      <x:c r="J32" s="20" t="str">
        <x:f>_xlfn.IFNA(VLOOKUP(_xlfn.CONCAT("T",J$1,"V",$D32,"A",$A32),Vulnerabilities!$G:$G,1,FALSE),"")</x:f>
      </x:c>
      <x:c r="K32" s="20" t="str">
        <x:f>_xlfn.IFNA(VLOOKUP(_xlfn.CONCAT("T",K$1,"V",$D32,"A",$A32),Vulnerabilities!$G:$G,1,FALSE),"")</x:f>
      </x:c>
      <x:c r="L32" s="20" t="str">
        <x:f>_xlfn.IFNA(VLOOKUP(_xlfn.CONCAT("T",L$1,"V",$D32,"A",$A32),Vulnerabilities!$G:$G,1,FALSE),"")</x:f>
      </x:c>
      <x:c r="M32" s="20" t="str">
        <x:f>_xlfn.IFNA(VLOOKUP(_xlfn.CONCAT("T",M$1,"V",$D32,"A",$A32),Vulnerabilities!$G:$G,1,FALSE),"")</x:f>
      </x:c>
      <x:c r="N32" s="20" t="str">
        <x:f>_xlfn.IFNA(VLOOKUP(_xlfn.CONCAT("T",N$1,"V",$D32,"A",$A32),Vulnerabilities!$G:$G,1,FALSE),"")</x:f>
      </x:c>
      <x:c r="O32" s="20" t="str">
        <x:f>_xlfn.IFNA(VLOOKUP(_xlfn.CONCAT("T",O$1,"V",$D32,"A",$A32),Vulnerabilities!$G:$G,1,FALSE),"")</x:f>
      </x:c>
      <x:c r="P32" s="16" t="str">
        <x:f>_xlfn.IFNA(VLOOKUP(_xlfn.CONCAT("T",P$1,"V",$D32,"A",$A32),Vulnerabilities!$G:$G,1,FALSE),"")</x:f>
      </x:c>
    </x:row>
    <x:row r="33">
      <x:c r="A33" s="1">
        <x:f t="shared" si="1"/>
        <x:v>8</x:v>
      </x:c>
      <x:c r="B33" t="str">
        <x:f>IF(VLOOKUP($A33,Assets!$A:$C,2,FALSE)=0,"",VLOOKUP($A33,Assets!$A:$C,2,FALSE))</x:f>
      </x:c>
      <x:c r="C33" t="str">
        <x:f>IF(VLOOKUP($A33,Assets!$A:$C,3,FALSE)=0,"",VLOOKUP($A33,Assets!$A:$C,3,FALSE))</x:f>
      </x:c>
      <x:c r="D33" s="16">
        <x:v>3</x:v>
      </x:c>
      <x:c r="E33" s="20" t="str">
        <x:f>_xlfn.IFNA(VLOOKUP(_xlfn.CONCAT("T",E$1,"V",$D33,"A",$A33),Vulnerabilities!$G:$G,1,FALSE),"")</x:f>
      </x:c>
      <x:c r="F33" s="20" t="str">
        <x:f>_xlfn.IFNA(VLOOKUP(_xlfn.CONCAT("T",F$1,"V",$D33,"A",$A33),Vulnerabilities!$G:$G,1,FALSE),"")</x:f>
      </x:c>
      <x:c r="G33" s="20" t="str">
        <x:f>_xlfn.IFNA(VLOOKUP(_xlfn.CONCAT("T",G$1,"V",$D33,"A",$A33),Vulnerabilities!$G:$G,1,FALSE),"")</x:f>
      </x:c>
      <x:c r="H33" s="20" t="str">
        <x:f>_xlfn.IFNA(VLOOKUP(_xlfn.CONCAT("T",H$1,"V",$D33,"A",$A33),Vulnerabilities!$G:$G,1,FALSE),"")</x:f>
      </x:c>
      <x:c r="I33" s="20" t="str">
        <x:f>_xlfn.IFNA(VLOOKUP(_xlfn.CONCAT("T",I$1,"V",$D33,"A",$A33),Vulnerabilities!$G:$G,1,FALSE),"")</x:f>
      </x:c>
      <x:c r="J33" s="20" t="str">
        <x:f>_xlfn.IFNA(VLOOKUP(_xlfn.CONCAT("T",J$1,"V",$D33,"A",$A33),Vulnerabilities!$G:$G,1,FALSE),"")</x:f>
      </x:c>
      <x:c r="K33" s="20" t="str">
        <x:f>_xlfn.IFNA(VLOOKUP(_xlfn.CONCAT("T",K$1,"V",$D33,"A",$A33),Vulnerabilities!$G:$G,1,FALSE),"")</x:f>
      </x:c>
      <x:c r="L33" s="20" t="str">
        <x:f>_xlfn.IFNA(VLOOKUP(_xlfn.CONCAT("T",L$1,"V",$D33,"A",$A33),Vulnerabilities!$G:$G,1,FALSE),"")</x:f>
      </x:c>
      <x:c r="M33" s="20" t="str">
        <x:f>_xlfn.IFNA(VLOOKUP(_xlfn.CONCAT("T",M$1,"V",$D33,"A",$A33),Vulnerabilities!$G:$G,1,FALSE),"")</x:f>
      </x:c>
      <x:c r="N33" s="20" t="str">
        <x:f>_xlfn.IFNA(VLOOKUP(_xlfn.CONCAT("T",N$1,"V",$D33,"A",$A33),Vulnerabilities!$G:$G,1,FALSE),"")</x:f>
      </x:c>
      <x:c r="O33" s="20" t="str">
        <x:f>_xlfn.IFNA(VLOOKUP(_xlfn.CONCAT("T",O$1,"V",$D33,"A",$A33),Vulnerabilities!$G:$G,1,FALSE),"")</x:f>
      </x:c>
      <x:c r="P33" s="16" t="str">
        <x:f>_xlfn.IFNA(VLOOKUP(_xlfn.CONCAT("T",P$1,"V",$D33,"A",$A33),Vulnerabilities!$G:$G,1,FALSE),"")</x:f>
      </x:c>
    </x:row>
    <x:row r="34">
      <x:c r="A34" s="11">
        <x:f t="shared" si="1"/>
        <x:v>8</x:v>
      </x:c>
      <x:c r="B34" s="12" t="str">
        <x:f>IF(VLOOKUP($A34,Assets!$A:$C,2,FALSE)=0,"",VLOOKUP($A34,Assets!$A:$C,2,FALSE))</x:f>
      </x:c>
      <x:c r="C34" s="12" t="str">
        <x:f>IF(VLOOKUP($A34,Assets!$A:$C,3,FALSE)=0,"",VLOOKUP($A34,Assets!$A:$C,3,FALSE))</x:f>
      </x:c>
      <x:c r="D34" s="17">
        <x:v>4</x:v>
      </x:c>
      <x:c r="E34" s="21" t="str">
        <x:f>_xlfn.IFNA(VLOOKUP(_xlfn.CONCAT("T",E$1,"V",$D34,"A",$A34),Vulnerabilities!$G:$G,1,FALSE),"")</x:f>
      </x:c>
      <x:c r="F34" s="21" t="str">
        <x:f>_xlfn.IFNA(VLOOKUP(_xlfn.CONCAT("T",F$1,"V",$D34,"A",$A34),Vulnerabilities!$G:$G,1,FALSE),"")</x:f>
      </x:c>
      <x:c r="G34" s="21" t="str">
        <x:f>_xlfn.IFNA(VLOOKUP(_xlfn.CONCAT("T",G$1,"V",$D34,"A",$A34),Vulnerabilities!$G:$G,1,FALSE),"")</x:f>
      </x:c>
      <x:c r="H34" s="21" t="str">
        <x:f>_xlfn.IFNA(VLOOKUP(_xlfn.CONCAT("T",H$1,"V",$D34,"A",$A34),Vulnerabilities!$G:$G,1,FALSE),"")</x:f>
      </x:c>
      <x:c r="I34" s="21" t="str">
        <x:f>_xlfn.IFNA(VLOOKUP(_xlfn.CONCAT("T",I$1,"V",$D34,"A",$A34),Vulnerabilities!$G:$G,1,FALSE),"")</x:f>
      </x:c>
      <x:c r="J34" s="21" t="str">
        <x:f>_xlfn.IFNA(VLOOKUP(_xlfn.CONCAT("T",J$1,"V",$D34,"A",$A34),Vulnerabilities!$G:$G,1,FALSE),"")</x:f>
      </x:c>
      <x:c r="K34" s="21" t="str">
        <x:f>_xlfn.IFNA(VLOOKUP(_xlfn.CONCAT("T",K$1,"V",$D34,"A",$A34),Vulnerabilities!$G:$G,1,FALSE),"")</x:f>
      </x:c>
      <x:c r="L34" s="21" t="str">
        <x:f>_xlfn.IFNA(VLOOKUP(_xlfn.CONCAT("T",L$1,"V",$D34,"A",$A34),Vulnerabilities!$G:$G,1,FALSE),"")</x:f>
      </x:c>
      <x:c r="M34" s="21" t="str">
        <x:f>_xlfn.IFNA(VLOOKUP(_xlfn.CONCAT("T",M$1,"V",$D34,"A",$A34),Vulnerabilities!$G:$G,1,FALSE),"")</x:f>
      </x:c>
      <x:c r="N34" s="21" t="str">
        <x:f>_xlfn.IFNA(VLOOKUP(_xlfn.CONCAT("T",N$1,"V",$D34,"A",$A34),Vulnerabilities!$G:$G,1,FALSE),"")</x:f>
      </x:c>
      <x:c r="O34" s="21" t="str">
        <x:f>_xlfn.IFNA(VLOOKUP(_xlfn.CONCAT("T",O$1,"V",$D34,"A",$A34),Vulnerabilities!$G:$G,1,FALSE),"")</x:f>
      </x:c>
      <x:c r="P34" s="17" t="str">
        <x:f>_xlfn.IFNA(VLOOKUP(_xlfn.CONCAT("T",P$1,"V",$D34,"A",$A34),Vulnerabilities!$G:$G,1,FALSE),"")</x:f>
      </x:c>
    </x:row>
    <x:row r="35">
      <x:c r="A35" s="1">
        <x:f t="shared" si="1"/>
        <x:v>9</x:v>
      </x:c>
      <x:c r="B35" t="str">
        <x:f>IF(VLOOKUP($A35,Assets!$A:$C,2,FALSE)=0,"",VLOOKUP($A35,Assets!$A:$C,2,FALSE))</x:f>
      </x:c>
      <x:c r="C35" t="str">
        <x:f>IF(VLOOKUP($A35,Assets!$A:$C,3,FALSE)=0,"",VLOOKUP($A35,Assets!$A:$C,3,FALSE))</x:f>
      </x:c>
      <x:c r="D35" s="16">
        <x:v>1</x:v>
      </x:c>
      <x:c r="E35" s="20" t="str">
        <x:f>_xlfn.IFNA(VLOOKUP(_xlfn.CONCAT("T",E$1,"V",$D35,"A",$A35),Vulnerabilities!$G:$G,1,FALSE),"")</x:f>
      </x:c>
      <x:c r="F35" s="20" t="str">
        <x:f>_xlfn.IFNA(VLOOKUP(_xlfn.CONCAT("T",F$1,"V",$D35,"A",$A35),Vulnerabilities!$G:$G,1,FALSE),"")</x:f>
      </x:c>
      <x:c r="G35" s="20" t="str">
        <x:f>_xlfn.IFNA(VLOOKUP(_xlfn.CONCAT("T",G$1,"V",$D35,"A",$A35),Vulnerabilities!$G:$G,1,FALSE),"")</x:f>
      </x:c>
      <x:c r="H35" s="20" t="str">
        <x:f>_xlfn.IFNA(VLOOKUP(_xlfn.CONCAT("T",H$1,"V",$D35,"A",$A35),Vulnerabilities!$G:$G,1,FALSE),"")</x:f>
      </x:c>
      <x:c r="I35" s="20" t="str">
        <x:f>_xlfn.IFNA(VLOOKUP(_xlfn.CONCAT("T",I$1,"V",$D35,"A",$A35),Vulnerabilities!$G:$G,1,FALSE),"")</x:f>
      </x:c>
      <x:c r="J35" s="20" t="str">
        <x:f>_xlfn.IFNA(VLOOKUP(_xlfn.CONCAT("T",J$1,"V",$D35,"A",$A35),Vulnerabilities!$G:$G,1,FALSE),"")</x:f>
      </x:c>
      <x:c r="K35" s="20" t="str">
        <x:f>_xlfn.IFNA(VLOOKUP(_xlfn.CONCAT("T",K$1,"V",$D35,"A",$A35),Vulnerabilities!$G:$G,1,FALSE),"")</x:f>
      </x:c>
      <x:c r="L35" s="20" t="str">
        <x:f>_xlfn.IFNA(VLOOKUP(_xlfn.CONCAT("T",L$1,"V",$D35,"A",$A35),Vulnerabilities!$G:$G,1,FALSE),"")</x:f>
      </x:c>
      <x:c r="M35" s="20" t="str">
        <x:f>_xlfn.IFNA(VLOOKUP(_xlfn.CONCAT("T",M$1,"V",$D35,"A",$A35),Vulnerabilities!$G:$G,1,FALSE),"")</x:f>
      </x:c>
      <x:c r="N35" s="20" t="str">
        <x:f>_xlfn.IFNA(VLOOKUP(_xlfn.CONCAT("T",N$1,"V",$D35,"A",$A35),Vulnerabilities!$G:$G,1,FALSE),"")</x:f>
      </x:c>
      <x:c r="O35" s="20" t="str">
        <x:f>_xlfn.IFNA(VLOOKUP(_xlfn.CONCAT("T",O$1,"V",$D35,"A",$A35),Vulnerabilities!$G:$G,1,FALSE),"")</x:f>
      </x:c>
      <x:c r="P35" s="16" t="str">
        <x:f>_xlfn.IFNA(VLOOKUP(_xlfn.CONCAT("T",P$1,"V",$D35,"A",$A35),Vulnerabilities!$G:$G,1,FALSE),"")</x:f>
      </x:c>
    </x:row>
    <x:row r="36">
      <x:c r="A36" s="1">
        <x:f t="shared" si="1"/>
        <x:v>9</x:v>
      </x:c>
      <x:c r="B36" t="str">
        <x:f>IF(VLOOKUP($A36,Assets!$A:$C,2,FALSE)=0,"",VLOOKUP($A36,Assets!$A:$C,2,FALSE))</x:f>
      </x:c>
      <x:c r="C36" t="str">
        <x:f>IF(VLOOKUP($A36,Assets!$A:$C,3,FALSE)=0,"",VLOOKUP($A36,Assets!$A:$C,3,FALSE))</x:f>
      </x:c>
      <x:c r="D36" s="16">
        <x:v>2</x:v>
      </x:c>
      <x:c r="E36" s="20" t="str">
        <x:f>_xlfn.IFNA(VLOOKUP(_xlfn.CONCAT("T",E$1,"V",$D36,"A",$A36),Vulnerabilities!$G:$G,1,FALSE),"")</x:f>
      </x:c>
      <x:c r="F36" s="20" t="str">
        <x:f>_xlfn.IFNA(VLOOKUP(_xlfn.CONCAT("T",F$1,"V",$D36,"A",$A36),Vulnerabilities!$G:$G,1,FALSE),"")</x:f>
      </x:c>
      <x:c r="G36" s="20" t="str">
        <x:f>_xlfn.IFNA(VLOOKUP(_xlfn.CONCAT("T",G$1,"V",$D36,"A",$A36),Vulnerabilities!$G:$G,1,FALSE),"")</x:f>
      </x:c>
      <x:c r="H36" s="20" t="str">
        <x:f>_xlfn.IFNA(VLOOKUP(_xlfn.CONCAT("T",H$1,"V",$D36,"A",$A36),Vulnerabilities!$G:$G,1,FALSE),"")</x:f>
      </x:c>
      <x:c r="I36" s="20" t="str">
        <x:f>_xlfn.IFNA(VLOOKUP(_xlfn.CONCAT("T",I$1,"V",$D36,"A",$A36),Vulnerabilities!$G:$G,1,FALSE),"")</x:f>
      </x:c>
      <x:c r="J36" s="20" t="str">
        <x:f>_xlfn.IFNA(VLOOKUP(_xlfn.CONCAT("T",J$1,"V",$D36,"A",$A36),Vulnerabilities!$G:$G,1,FALSE),"")</x:f>
      </x:c>
      <x:c r="K36" s="20" t="str">
        <x:f>_xlfn.IFNA(VLOOKUP(_xlfn.CONCAT("T",K$1,"V",$D36,"A",$A36),Vulnerabilities!$G:$G,1,FALSE),"")</x:f>
      </x:c>
      <x:c r="L36" s="20" t="str">
        <x:f>_xlfn.IFNA(VLOOKUP(_xlfn.CONCAT("T",L$1,"V",$D36,"A",$A36),Vulnerabilities!$G:$G,1,FALSE),"")</x:f>
      </x:c>
      <x:c r="M36" s="20" t="str">
        <x:f>_xlfn.IFNA(VLOOKUP(_xlfn.CONCAT("T",M$1,"V",$D36,"A",$A36),Vulnerabilities!$G:$G,1,FALSE),"")</x:f>
      </x:c>
      <x:c r="N36" s="20" t="str">
        <x:f>_xlfn.IFNA(VLOOKUP(_xlfn.CONCAT("T",N$1,"V",$D36,"A",$A36),Vulnerabilities!$G:$G,1,FALSE),"")</x:f>
      </x:c>
      <x:c r="O36" s="20" t="str">
        <x:f>_xlfn.IFNA(VLOOKUP(_xlfn.CONCAT("T",O$1,"V",$D36,"A",$A36),Vulnerabilities!$G:$G,1,FALSE),"")</x:f>
      </x:c>
      <x:c r="P36" s="16" t="str">
        <x:f>_xlfn.IFNA(VLOOKUP(_xlfn.CONCAT("T",P$1,"V",$D36,"A",$A36),Vulnerabilities!$G:$G,1,FALSE),"")</x:f>
      </x:c>
    </x:row>
    <x:row r="37">
      <x:c r="A37" s="1">
        <x:f t="shared" si="1"/>
        <x:v>9</x:v>
      </x:c>
      <x:c r="B37" t="str">
        <x:f>IF(VLOOKUP($A37,Assets!$A:$C,2,FALSE)=0,"",VLOOKUP($A37,Assets!$A:$C,2,FALSE))</x:f>
      </x:c>
      <x:c r="C37" t="str">
        <x:f>IF(VLOOKUP($A37,Assets!$A:$C,3,FALSE)=0,"",VLOOKUP($A37,Assets!$A:$C,3,FALSE))</x:f>
      </x:c>
      <x:c r="D37" s="16">
        <x:v>3</x:v>
      </x:c>
      <x:c r="E37" s="20" t="str">
        <x:f>_xlfn.IFNA(VLOOKUP(_xlfn.CONCAT("T",E$1,"V",$D37,"A",$A37),Vulnerabilities!$G:$G,1,FALSE),"")</x:f>
      </x:c>
      <x:c r="F37" s="20" t="str">
        <x:f>_xlfn.IFNA(VLOOKUP(_xlfn.CONCAT("T",F$1,"V",$D37,"A",$A37),Vulnerabilities!$G:$G,1,FALSE),"")</x:f>
      </x:c>
      <x:c r="G37" s="20" t="str">
        <x:f>_xlfn.IFNA(VLOOKUP(_xlfn.CONCAT("T",G$1,"V",$D37,"A",$A37),Vulnerabilities!$G:$G,1,FALSE),"")</x:f>
      </x:c>
      <x:c r="H37" s="20" t="str">
        <x:f>_xlfn.IFNA(VLOOKUP(_xlfn.CONCAT("T",H$1,"V",$D37,"A",$A37),Vulnerabilities!$G:$G,1,FALSE),"")</x:f>
      </x:c>
      <x:c r="I37" s="20" t="str">
        <x:f>_xlfn.IFNA(VLOOKUP(_xlfn.CONCAT("T",I$1,"V",$D37,"A",$A37),Vulnerabilities!$G:$G,1,FALSE),"")</x:f>
      </x:c>
      <x:c r="J37" s="20" t="str">
        <x:f>_xlfn.IFNA(VLOOKUP(_xlfn.CONCAT("T",J$1,"V",$D37,"A",$A37),Vulnerabilities!$G:$G,1,FALSE),"")</x:f>
      </x:c>
      <x:c r="K37" s="20" t="str">
        <x:f>_xlfn.IFNA(VLOOKUP(_xlfn.CONCAT("T",K$1,"V",$D37,"A",$A37),Vulnerabilities!$G:$G,1,FALSE),"")</x:f>
      </x:c>
      <x:c r="L37" s="20" t="str">
        <x:f>_xlfn.IFNA(VLOOKUP(_xlfn.CONCAT("T",L$1,"V",$D37,"A",$A37),Vulnerabilities!$G:$G,1,FALSE),"")</x:f>
      </x:c>
      <x:c r="M37" s="20" t="str">
        <x:f>_xlfn.IFNA(VLOOKUP(_xlfn.CONCAT("T",M$1,"V",$D37,"A",$A37),Vulnerabilities!$G:$G,1,FALSE),"")</x:f>
      </x:c>
      <x:c r="N37" s="20" t="str">
        <x:f>_xlfn.IFNA(VLOOKUP(_xlfn.CONCAT("T",N$1,"V",$D37,"A",$A37),Vulnerabilities!$G:$G,1,FALSE),"")</x:f>
      </x:c>
      <x:c r="O37" s="20" t="str">
        <x:f>_xlfn.IFNA(VLOOKUP(_xlfn.CONCAT("T",O$1,"V",$D37,"A",$A37),Vulnerabilities!$G:$G,1,FALSE),"")</x:f>
      </x:c>
      <x:c r="P37" s="16" t="str">
        <x:f>_xlfn.IFNA(VLOOKUP(_xlfn.CONCAT("T",P$1,"V",$D37,"A",$A37),Vulnerabilities!$G:$G,1,FALSE),"")</x:f>
      </x:c>
    </x:row>
    <x:row r="38">
      <x:c r="A38" s="11">
        <x:f t="shared" si="1"/>
        <x:v>9</x:v>
      </x:c>
      <x:c r="B38" s="12" t="str">
        <x:f>IF(VLOOKUP($A38,Assets!$A:$C,2,FALSE)=0,"",VLOOKUP($A38,Assets!$A:$C,2,FALSE))</x:f>
      </x:c>
      <x:c r="C38" s="12" t="str">
        <x:f>IF(VLOOKUP($A38,Assets!$A:$C,3,FALSE)=0,"",VLOOKUP($A38,Assets!$A:$C,3,FALSE))</x:f>
      </x:c>
      <x:c r="D38" s="17">
        <x:v>4</x:v>
      </x:c>
      <x:c r="E38" s="21" t="str">
        <x:f>_xlfn.IFNA(VLOOKUP(_xlfn.CONCAT("T",E$1,"V",$D38,"A",$A38),Vulnerabilities!$G:$G,1,FALSE),"")</x:f>
      </x:c>
      <x:c r="F38" s="21" t="str">
        <x:f>_xlfn.IFNA(VLOOKUP(_xlfn.CONCAT("T",F$1,"V",$D38,"A",$A38),Vulnerabilities!$G:$G,1,FALSE),"")</x:f>
      </x:c>
      <x:c r="G38" s="21" t="str">
        <x:f>_xlfn.IFNA(VLOOKUP(_xlfn.CONCAT("T",G$1,"V",$D38,"A",$A38),Vulnerabilities!$G:$G,1,FALSE),"")</x:f>
      </x:c>
      <x:c r="H38" s="21" t="str">
        <x:f>_xlfn.IFNA(VLOOKUP(_xlfn.CONCAT("T",H$1,"V",$D38,"A",$A38),Vulnerabilities!$G:$G,1,FALSE),"")</x:f>
      </x:c>
      <x:c r="I38" s="21" t="str">
        <x:f>_xlfn.IFNA(VLOOKUP(_xlfn.CONCAT("T",I$1,"V",$D38,"A",$A38),Vulnerabilities!$G:$G,1,FALSE),"")</x:f>
      </x:c>
      <x:c r="J38" s="21" t="str">
        <x:f>_xlfn.IFNA(VLOOKUP(_xlfn.CONCAT("T",J$1,"V",$D38,"A",$A38),Vulnerabilities!$G:$G,1,FALSE),"")</x:f>
      </x:c>
      <x:c r="K38" s="21" t="str">
        <x:f>_xlfn.IFNA(VLOOKUP(_xlfn.CONCAT("T",K$1,"V",$D38,"A",$A38),Vulnerabilities!$G:$G,1,FALSE),"")</x:f>
      </x:c>
      <x:c r="L38" s="21" t="str">
        <x:f>_xlfn.IFNA(VLOOKUP(_xlfn.CONCAT("T",L$1,"V",$D38,"A",$A38),Vulnerabilities!$G:$G,1,FALSE),"")</x:f>
      </x:c>
      <x:c r="M38" s="21" t="str">
        <x:f>_xlfn.IFNA(VLOOKUP(_xlfn.CONCAT("T",M$1,"V",$D38,"A",$A38),Vulnerabilities!$G:$G,1,FALSE),"")</x:f>
      </x:c>
      <x:c r="N38" s="21" t="str">
        <x:f>_xlfn.IFNA(VLOOKUP(_xlfn.CONCAT("T",N$1,"V",$D38,"A",$A38),Vulnerabilities!$G:$G,1,FALSE),"")</x:f>
      </x:c>
      <x:c r="O38" s="21" t="str">
        <x:f>_xlfn.IFNA(VLOOKUP(_xlfn.CONCAT("T",O$1,"V",$D38,"A",$A38),Vulnerabilities!$G:$G,1,FALSE),"")</x:f>
      </x:c>
      <x:c r="P38" s="17" t="str">
        <x:f>_xlfn.IFNA(VLOOKUP(_xlfn.CONCAT("T",P$1,"V",$D38,"A",$A38),Vulnerabilities!$G:$G,1,FALSE),"")</x:f>
      </x:c>
    </x:row>
    <x:row r="39">
      <x:c r="A39" s="1">
        <x:f t="shared" si="1"/>
        <x:v>10</x:v>
      </x:c>
      <x:c r="B39" t="str">
        <x:f>IF(VLOOKUP($A39,Assets!$A:$C,2,FALSE)=0,"",VLOOKUP($A39,Assets!$A:$C,2,FALSE))</x:f>
      </x:c>
      <x:c r="C39" t="str">
        <x:f>IF(VLOOKUP($A39,Assets!$A:$C,3,FALSE)=0,"",VLOOKUP($A39,Assets!$A:$C,3,FALSE))</x:f>
      </x:c>
      <x:c r="D39" s="16">
        <x:v>1</x:v>
      </x:c>
      <x:c r="E39" s="20" t="str">
        <x:f>_xlfn.IFNA(VLOOKUP(_xlfn.CONCAT("T",E$1,"V",$D39,"A",$A39),Vulnerabilities!$G:$G,1,FALSE),"")</x:f>
      </x:c>
      <x:c r="F39" s="20" t="str">
        <x:f>_xlfn.IFNA(VLOOKUP(_xlfn.CONCAT("T",F$1,"V",$D39,"A",$A39),Vulnerabilities!$G:$G,1,FALSE),"")</x:f>
      </x:c>
      <x:c r="G39" s="20" t="str">
        <x:f>_xlfn.IFNA(VLOOKUP(_xlfn.CONCAT("T",G$1,"V",$D39,"A",$A39),Vulnerabilities!$G:$G,1,FALSE),"")</x:f>
      </x:c>
      <x:c r="H39" s="20" t="str">
        <x:f>_xlfn.IFNA(VLOOKUP(_xlfn.CONCAT("T",H$1,"V",$D39,"A",$A39),Vulnerabilities!$G:$G,1,FALSE),"")</x:f>
      </x:c>
      <x:c r="I39" s="20" t="str">
        <x:f>_xlfn.IFNA(VLOOKUP(_xlfn.CONCAT("T",I$1,"V",$D39,"A",$A39),Vulnerabilities!$G:$G,1,FALSE),"")</x:f>
      </x:c>
      <x:c r="J39" s="20" t="str">
        <x:f>_xlfn.IFNA(VLOOKUP(_xlfn.CONCAT("T",J$1,"V",$D39,"A",$A39),Vulnerabilities!$G:$G,1,FALSE),"")</x:f>
      </x:c>
      <x:c r="K39" s="20" t="str">
        <x:f>_xlfn.IFNA(VLOOKUP(_xlfn.CONCAT("T",K$1,"V",$D39,"A",$A39),Vulnerabilities!$G:$G,1,FALSE),"")</x:f>
      </x:c>
      <x:c r="L39" s="20" t="str">
        <x:f>_xlfn.IFNA(VLOOKUP(_xlfn.CONCAT("T",L$1,"V",$D39,"A",$A39),Vulnerabilities!$G:$G,1,FALSE),"")</x:f>
      </x:c>
      <x:c r="M39" s="20" t="str">
        <x:f>_xlfn.IFNA(VLOOKUP(_xlfn.CONCAT("T",M$1,"V",$D39,"A",$A39),Vulnerabilities!$G:$G,1,FALSE),"")</x:f>
      </x:c>
      <x:c r="N39" s="20" t="str">
        <x:f>_xlfn.IFNA(VLOOKUP(_xlfn.CONCAT("T",N$1,"V",$D39,"A",$A39),Vulnerabilities!$G:$G,1,FALSE),"")</x:f>
      </x:c>
      <x:c r="O39" s="20" t="str">
        <x:f>_xlfn.IFNA(VLOOKUP(_xlfn.CONCAT("T",O$1,"V",$D39,"A",$A39),Vulnerabilities!$G:$G,1,FALSE),"")</x:f>
      </x:c>
      <x:c r="P39" s="16" t="str">
        <x:f>_xlfn.IFNA(VLOOKUP(_xlfn.CONCAT("T",P$1,"V",$D39,"A",$A39),Vulnerabilities!$G:$G,1,FALSE),"")</x:f>
      </x:c>
    </x:row>
    <x:row r="40">
      <x:c r="A40" s="1">
        <x:f t="shared" si="1"/>
        <x:v>10</x:v>
      </x:c>
      <x:c r="B40" t="str">
        <x:f>IF(VLOOKUP($A40,Assets!$A:$C,2,FALSE)=0,"",VLOOKUP($A40,Assets!$A:$C,2,FALSE))</x:f>
      </x:c>
      <x:c r="C40" t="str">
        <x:f>IF(VLOOKUP($A40,Assets!$A:$C,3,FALSE)=0,"",VLOOKUP($A40,Assets!$A:$C,3,FALSE))</x:f>
      </x:c>
      <x:c r="D40" s="16">
        <x:v>2</x:v>
      </x:c>
      <x:c r="E40" s="20" t="str">
        <x:f>_xlfn.IFNA(VLOOKUP(_xlfn.CONCAT("T",E$1,"V",$D40,"A",$A40),Vulnerabilities!$G:$G,1,FALSE),"")</x:f>
      </x:c>
      <x:c r="F40" s="20" t="str">
        <x:f>_xlfn.IFNA(VLOOKUP(_xlfn.CONCAT("T",F$1,"V",$D40,"A",$A40),Vulnerabilities!$G:$G,1,FALSE),"")</x:f>
      </x:c>
      <x:c r="G40" s="20" t="str">
        <x:f>_xlfn.IFNA(VLOOKUP(_xlfn.CONCAT("T",G$1,"V",$D40,"A",$A40),Vulnerabilities!$G:$G,1,FALSE),"")</x:f>
      </x:c>
      <x:c r="H40" s="20" t="str">
        <x:f>_xlfn.IFNA(VLOOKUP(_xlfn.CONCAT("T",H$1,"V",$D40,"A",$A40),Vulnerabilities!$G:$G,1,FALSE),"")</x:f>
      </x:c>
      <x:c r="I40" s="20" t="str">
        <x:f>_xlfn.IFNA(VLOOKUP(_xlfn.CONCAT("T",I$1,"V",$D40,"A",$A40),Vulnerabilities!$G:$G,1,FALSE),"")</x:f>
      </x:c>
      <x:c r="J40" s="20" t="str">
        <x:f>_xlfn.IFNA(VLOOKUP(_xlfn.CONCAT("T",J$1,"V",$D40,"A",$A40),Vulnerabilities!$G:$G,1,FALSE),"")</x:f>
      </x:c>
      <x:c r="K40" s="20" t="str">
        <x:f>_xlfn.IFNA(VLOOKUP(_xlfn.CONCAT("T",K$1,"V",$D40,"A",$A40),Vulnerabilities!$G:$G,1,FALSE),"")</x:f>
      </x:c>
      <x:c r="L40" s="20" t="str">
        <x:f>_xlfn.IFNA(VLOOKUP(_xlfn.CONCAT("T",L$1,"V",$D40,"A",$A40),Vulnerabilities!$G:$G,1,FALSE),"")</x:f>
      </x:c>
      <x:c r="M40" s="20" t="str">
        <x:f>_xlfn.IFNA(VLOOKUP(_xlfn.CONCAT("T",M$1,"V",$D40,"A",$A40),Vulnerabilities!$G:$G,1,FALSE),"")</x:f>
      </x:c>
      <x:c r="N40" s="20" t="str">
        <x:f>_xlfn.IFNA(VLOOKUP(_xlfn.CONCAT("T",N$1,"V",$D40,"A",$A40),Vulnerabilities!$G:$G,1,FALSE),"")</x:f>
      </x:c>
      <x:c r="O40" s="20" t="str">
        <x:f>_xlfn.IFNA(VLOOKUP(_xlfn.CONCAT("T",O$1,"V",$D40,"A",$A40),Vulnerabilities!$G:$G,1,FALSE),"")</x:f>
      </x:c>
      <x:c r="P40" s="16" t="str">
        <x:f>_xlfn.IFNA(VLOOKUP(_xlfn.CONCAT("T",P$1,"V",$D40,"A",$A40),Vulnerabilities!$G:$G,1,FALSE),"")</x:f>
      </x:c>
    </x:row>
    <x:row r="41">
      <x:c r="A41" s="1">
        <x:f t="shared" si="1"/>
        <x:v>10</x:v>
      </x:c>
      <x:c r="B41" t="str">
        <x:f>IF(VLOOKUP($A41,Assets!$A:$C,2,FALSE)=0,"",VLOOKUP($A41,Assets!$A:$C,2,FALSE))</x:f>
      </x:c>
      <x:c r="C41" t="str">
        <x:f>IF(VLOOKUP($A41,Assets!$A:$C,3,FALSE)=0,"",VLOOKUP($A41,Assets!$A:$C,3,FALSE))</x:f>
      </x:c>
      <x:c r="D41" s="16">
        <x:v>3</x:v>
      </x:c>
      <x:c r="E41" s="20" t="str">
        <x:f>_xlfn.IFNA(VLOOKUP(_xlfn.CONCAT("T",E$1,"V",$D41,"A",$A41),Vulnerabilities!$G:$G,1,FALSE),"")</x:f>
      </x:c>
      <x:c r="F41" s="20" t="str">
        <x:f>_xlfn.IFNA(VLOOKUP(_xlfn.CONCAT("T",F$1,"V",$D41,"A",$A41),Vulnerabilities!$G:$G,1,FALSE),"")</x:f>
      </x:c>
      <x:c r="G41" s="20" t="str">
        <x:f>_xlfn.IFNA(VLOOKUP(_xlfn.CONCAT("T",G$1,"V",$D41,"A",$A41),Vulnerabilities!$G:$G,1,FALSE),"")</x:f>
      </x:c>
      <x:c r="H41" s="20" t="str">
        <x:f>_xlfn.IFNA(VLOOKUP(_xlfn.CONCAT("T",H$1,"V",$D41,"A",$A41),Vulnerabilities!$G:$G,1,FALSE),"")</x:f>
      </x:c>
      <x:c r="I41" s="20" t="str">
        <x:f>_xlfn.IFNA(VLOOKUP(_xlfn.CONCAT("T",I$1,"V",$D41,"A",$A41),Vulnerabilities!$G:$G,1,FALSE),"")</x:f>
      </x:c>
      <x:c r="J41" s="20" t="str">
        <x:f>_xlfn.IFNA(VLOOKUP(_xlfn.CONCAT("T",J$1,"V",$D41,"A",$A41),Vulnerabilities!$G:$G,1,FALSE),"")</x:f>
      </x:c>
      <x:c r="K41" s="20" t="str">
        <x:f>_xlfn.IFNA(VLOOKUP(_xlfn.CONCAT("T",K$1,"V",$D41,"A",$A41),Vulnerabilities!$G:$G,1,FALSE),"")</x:f>
      </x:c>
      <x:c r="L41" s="20" t="str">
        <x:f>_xlfn.IFNA(VLOOKUP(_xlfn.CONCAT("T",L$1,"V",$D41,"A",$A41),Vulnerabilities!$G:$G,1,FALSE),"")</x:f>
      </x:c>
      <x:c r="M41" s="20" t="str">
        <x:f>_xlfn.IFNA(VLOOKUP(_xlfn.CONCAT("T",M$1,"V",$D41,"A",$A41),Vulnerabilities!$G:$G,1,FALSE),"")</x:f>
      </x:c>
      <x:c r="N41" s="20" t="str">
        <x:f>_xlfn.IFNA(VLOOKUP(_xlfn.CONCAT("T",N$1,"V",$D41,"A",$A41),Vulnerabilities!$G:$G,1,FALSE),"")</x:f>
      </x:c>
      <x:c r="O41" s="20" t="str">
        <x:f>_xlfn.IFNA(VLOOKUP(_xlfn.CONCAT("T",O$1,"V",$D41,"A",$A41),Vulnerabilities!$G:$G,1,FALSE),"")</x:f>
      </x:c>
      <x:c r="P41" s="16" t="str">
        <x:f>_xlfn.IFNA(VLOOKUP(_xlfn.CONCAT("T",P$1,"V",$D41,"A",$A41),Vulnerabilities!$G:$G,1,FALSE),"")</x:f>
      </x:c>
    </x:row>
    <x:row r="42">
      <x:c r="A42" s="11">
        <x:f t="shared" si="1"/>
        <x:v>10</x:v>
      </x:c>
      <x:c r="B42" s="12" t="str">
        <x:f>IF(VLOOKUP($A42,Assets!$A:$C,2,FALSE)=0,"",VLOOKUP($A42,Assets!$A:$C,2,FALSE))</x:f>
      </x:c>
      <x:c r="C42" s="12" t="str">
        <x:f>IF(VLOOKUP($A42,Assets!$A:$C,3,FALSE)=0,"",VLOOKUP($A42,Assets!$A:$C,3,FALSE))</x:f>
      </x:c>
      <x:c r="D42" s="17">
        <x:v>4</x:v>
      </x:c>
      <x:c r="E42" s="21" t="str">
        <x:f>_xlfn.IFNA(VLOOKUP(_xlfn.CONCAT("T",E$1,"V",$D42,"A",$A42),Vulnerabilities!$G:$G,1,FALSE),"")</x:f>
      </x:c>
      <x:c r="F42" s="21" t="str">
        <x:f>_xlfn.IFNA(VLOOKUP(_xlfn.CONCAT("T",F$1,"V",$D42,"A",$A42),Vulnerabilities!$G:$G,1,FALSE),"")</x:f>
      </x:c>
      <x:c r="G42" s="21" t="str">
        <x:f>_xlfn.IFNA(VLOOKUP(_xlfn.CONCAT("T",G$1,"V",$D42,"A",$A42),Vulnerabilities!$G:$G,1,FALSE),"")</x:f>
      </x:c>
      <x:c r="H42" s="21" t="str">
        <x:f>_xlfn.IFNA(VLOOKUP(_xlfn.CONCAT("T",H$1,"V",$D42,"A",$A42),Vulnerabilities!$G:$G,1,FALSE),"")</x:f>
      </x:c>
      <x:c r="I42" s="21" t="str">
        <x:f>_xlfn.IFNA(VLOOKUP(_xlfn.CONCAT("T",I$1,"V",$D42,"A",$A42),Vulnerabilities!$G:$G,1,FALSE),"")</x:f>
      </x:c>
      <x:c r="J42" s="21" t="str">
        <x:f>_xlfn.IFNA(VLOOKUP(_xlfn.CONCAT("T",J$1,"V",$D42,"A",$A42),Vulnerabilities!$G:$G,1,FALSE),"")</x:f>
      </x:c>
      <x:c r="K42" s="21" t="str">
        <x:f>_xlfn.IFNA(VLOOKUP(_xlfn.CONCAT("T",K$1,"V",$D42,"A",$A42),Vulnerabilities!$G:$G,1,FALSE),"")</x:f>
      </x:c>
      <x:c r="L42" s="21" t="str">
        <x:f>_xlfn.IFNA(VLOOKUP(_xlfn.CONCAT("T",L$1,"V",$D42,"A",$A42),Vulnerabilities!$G:$G,1,FALSE),"")</x:f>
      </x:c>
      <x:c r="M42" s="21" t="str">
        <x:f>_xlfn.IFNA(VLOOKUP(_xlfn.CONCAT("T",M$1,"V",$D42,"A",$A42),Vulnerabilities!$G:$G,1,FALSE),"")</x:f>
      </x:c>
      <x:c r="N42" s="21" t="str">
        <x:f>_xlfn.IFNA(VLOOKUP(_xlfn.CONCAT("T",N$1,"V",$D42,"A",$A42),Vulnerabilities!$G:$G,1,FALSE),"")</x:f>
      </x:c>
      <x:c r="O42" s="21" t="str">
        <x:f>_xlfn.IFNA(VLOOKUP(_xlfn.CONCAT("T",O$1,"V",$D42,"A",$A42),Vulnerabilities!$G:$G,1,FALSE),"")</x:f>
      </x:c>
      <x:c r="P42" s="17" t="str">
        <x:f>_xlfn.IFNA(VLOOKUP(_xlfn.CONCAT("T",P$1,"V",$D42,"A",$A42),Vulnerabilities!$G:$G,1,FALSE),"")</x:f>
      </x:c>
    </x:row>
    <x:row r="43">
      <x:c r="A43" s="1">
        <x:f t="shared" si="1"/>
        <x:v>11</x:v>
      </x:c>
      <x:c r="B43" t="str">
        <x:f>IF(VLOOKUP($A43,Assets!$A:$C,2,FALSE)=0,"",VLOOKUP($A43,Assets!$A:$C,2,FALSE))</x:f>
      </x:c>
      <x:c r="C43" t="str">
        <x:f>IF(VLOOKUP($A43,Assets!$A:$C,3,FALSE)=0,"",VLOOKUP($A43,Assets!$A:$C,3,FALSE))</x:f>
      </x:c>
      <x:c r="D43" s="16">
        <x:v>1</x:v>
      </x:c>
      <x:c r="E43" s="20" t="str">
        <x:f>_xlfn.IFNA(VLOOKUP(_xlfn.CONCAT("T",E$1,"V",$D43,"A",$A43),Vulnerabilities!$G:$G,1,FALSE),"")</x:f>
      </x:c>
      <x:c r="F43" s="20" t="str">
        <x:f>_xlfn.IFNA(VLOOKUP(_xlfn.CONCAT("T",F$1,"V",$D43,"A",$A43),Vulnerabilities!$G:$G,1,FALSE),"")</x:f>
      </x:c>
      <x:c r="G43" s="20" t="str">
        <x:f>_xlfn.IFNA(VLOOKUP(_xlfn.CONCAT("T",G$1,"V",$D43,"A",$A43),Vulnerabilities!$G:$G,1,FALSE),"")</x:f>
      </x:c>
      <x:c r="H43" s="20" t="str">
        <x:f>_xlfn.IFNA(VLOOKUP(_xlfn.CONCAT("T",H$1,"V",$D43,"A",$A43),Vulnerabilities!$G:$G,1,FALSE),"")</x:f>
      </x:c>
      <x:c r="I43" s="20" t="str">
        <x:f>_xlfn.IFNA(VLOOKUP(_xlfn.CONCAT("T",I$1,"V",$D43,"A",$A43),Vulnerabilities!$G:$G,1,FALSE),"")</x:f>
      </x:c>
      <x:c r="J43" s="20" t="str">
        <x:f>_xlfn.IFNA(VLOOKUP(_xlfn.CONCAT("T",J$1,"V",$D43,"A",$A43),Vulnerabilities!$G:$G,1,FALSE),"")</x:f>
      </x:c>
      <x:c r="K43" s="20" t="str">
        <x:f>_xlfn.IFNA(VLOOKUP(_xlfn.CONCAT("T",K$1,"V",$D43,"A",$A43),Vulnerabilities!$G:$G,1,FALSE),"")</x:f>
      </x:c>
      <x:c r="L43" s="20" t="str">
        <x:f>_xlfn.IFNA(VLOOKUP(_xlfn.CONCAT("T",L$1,"V",$D43,"A",$A43),Vulnerabilities!$G:$G,1,FALSE),"")</x:f>
      </x:c>
      <x:c r="M43" s="20" t="str">
        <x:f>_xlfn.IFNA(VLOOKUP(_xlfn.CONCAT("T",M$1,"V",$D43,"A",$A43),Vulnerabilities!$G:$G,1,FALSE),"")</x:f>
      </x:c>
      <x:c r="N43" s="20" t="str">
        <x:f>_xlfn.IFNA(VLOOKUP(_xlfn.CONCAT("T",N$1,"V",$D43,"A",$A43),Vulnerabilities!$G:$G,1,FALSE),"")</x:f>
      </x:c>
      <x:c r="O43" s="20" t="str">
        <x:f>_xlfn.IFNA(VLOOKUP(_xlfn.CONCAT("T",O$1,"V",$D43,"A",$A43),Vulnerabilities!$G:$G,1,FALSE),"")</x:f>
      </x:c>
      <x:c r="P43" s="16" t="str">
        <x:f>_xlfn.IFNA(VLOOKUP(_xlfn.CONCAT("T",P$1,"V",$D43,"A",$A43),Vulnerabilities!$G:$G,1,FALSE),"")</x:f>
      </x:c>
    </x:row>
    <x:row r="44">
      <x:c r="A44" s="1">
        <x:f t="shared" si="1"/>
        <x:v>11</x:v>
      </x:c>
      <x:c r="B44" t="str">
        <x:f>IF(VLOOKUP($A44,Assets!$A:$C,2,FALSE)=0,"",VLOOKUP($A44,Assets!$A:$C,2,FALSE))</x:f>
      </x:c>
      <x:c r="C44" t="str">
        <x:f>IF(VLOOKUP($A44,Assets!$A:$C,3,FALSE)=0,"",VLOOKUP($A44,Assets!$A:$C,3,FALSE))</x:f>
      </x:c>
      <x:c r="D44" s="16">
        <x:v>2</x:v>
      </x:c>
      <x:c r="E44" s="20" t="str">
        <x:f>_xlfn.IFNA(VLOOKUP(_xlfn.CONCAT("T",E$1,"V",$D44,"A",$A44),Vulnerabilities!$G:$G,1,FALSE),"")</x:f>
      </x:c>
      <x:c r="F44" s="20" t="str">
        <x:f>_xlfn.IFNA(VLOOKUP(_xlfn.CONCAT("T",F$1,"V",$D44,"A",$A44),Vulnerabilities!$G:$G,1,FALSE),"")</x:f>
      </x:c>
      <x:c r="G44" s="20" t="str">
        <x:f>_xlfn.IFNA(VLOOKUP(_xlfn.CONCAT("T",G$1,"V",$D44,"A",$A44),Vulnerabilities!$G:$G,1,FALSE),"")</x:f>
      </x:c>
      <x:c r="H44" s="20" t="str">
        <x:f>_xlfn.IFNA(VLOOKUP(_xlfn.CONCAT("T",H$1,"V",$D44,"A",$A44),Vulnerabilities!$G:$G,1,FALSE),"")</x:f>
      </x:c>
      <x:c r="I44" s="20" t="str">
        <x:f>_xlfn.IFNA(VLOOKUP(_xlfn.CONCAT("T",I$1,"V",$D44,"A",$A44),Vulnerabilities!$G:$G,1,FALSE),"")</x:f>
      </x:c>
      <x:c r="J44" s="20" t="str">
        <x:f>_xlfn.IFNA(VLOOKUP(_xlfn.CONCAT("T",J$1,"V",$D44,"A",$A44),Vulnerabilities!$G:$G,1,FALSE),"")</x:f>
      </x:c>
      <x:c r="K44" s="20" t="str">
        <x:f>_xlfn.IFNA(VLOOKUP(_xlfn.CONCAT("T",K$1,"V",$D44,"A",$A44),Vulnerabilities!$G:$G,1,FALSE),"")</x:f>
      </x:c>
      <x:c r="L44" s="20" t="str">
        <x:f>_xlfn.IFNA(VLOOKUP(_xlfn.CONCAT("T",L$1,"V",$D44,"A",$A44),Vulnerabilities!$G:$G,1,FALSE),"")</x:f>
      </x:c>
      <x:c r="M44" s="20" t="str">
        <x:f>_xlfn.IFNA(VLOOKUP(_xlfn.CONCAT("T",M$1,"V",$D44,"A",$A44),Vulnerabilities!$G:$G,1,FALSE),"")</x:f>
      </x:c>
      <x:c r="N44" s="20" t="str">
        <x:f>_xlfn.IFNA(VLOOKUP(_xlfn.CONCAT("T",N$1,"V",$D44,"A",$A44),Vulnerabilities!$G:$G,1,FALSE),"")</x:f>
      </x:c>
      <x:c r="O44" s="20" t="str">
        <x:f>_xlfn.IFNA(VLOOKUP(_xlfn.CONCAT("T",O$1,"V",$D44,"A",$A44),Vulnerabilities!$G:$G,1,FALSE),"")</x:f>
      </x:c>
      <x:c r="P44" s="16" t="str">
        <x:f>_xlfn.IFNA(VLOOKUP(_xlfn.CONCAT("T",P$1,"V",$D44,"A",$A44),Vulnerabilities!$G:$G,1,FALSE),"")</x:f>
      </x:c>
    </x:row>
    <x:row r="45">
      <x:c r="A45" s="1">
        <x:f t="shared" si="1"/>
        <x:v>11</x:v>
      </x:c>
      <x:c r="B45" t="str">
        <x:f>IF(VLOOKUP($A45,Assets!$A:$C,2,FALSE)=0,"",VLOOKUP($A45,Assets!$A:$C,2,FALSE))</x:f>
      </x:c>
      <x:c r="C45" t="str">
        <x:f>IF(VLOOKUP($A45,Assets!$A:$C,3,FALSE)=0,"",VLOOKUP($A45,Assets!$A:$C,3,FALSE))</x:f>
      </x:c>
      <x:c r="D45" s="16">
        <x:v>3</x:v>
      </x:c>
      <x:c r="E45" s="20" t="str">
        <x:f>_xlfn.IFNA(VLOOKUP(_xlfn.CONCAT("T",E$1,"V",$D45,"A",$A45),Vulnerabilities!$G:$G,1,FALSE),"")</x:f>
      </x:c>
      <x:c r="F45" s="20" t="str">
        <x:f>_xlfn.IFNA(VLOOKUP(_xlfn.CONCAT("T",F$1,"V",$D45,"A",$A45),Vulnerabilities!$G:$G,1,FALSE),"")</x:f>
      </x:c>
      <x:c r="G45" s="20" t="str">
        <x:f>_xlfn.IFNA(VLOOKUP(_xlfn.CONCAT("T",G$1,"V",$D45,"A",$A45),Vulnerabilities!$G:$G,1,FALSE),"")</x:f>
      </x:c>
      <x:c r="H45" s="20" t="str">
        <x:f>_xlfn.IFNA(VLOOKUP(_xlfn.CONCAT("T",H$1,"V",$D45,"A",$A45),Vulnerabilities!$G:$G,1,FALSE),"")</x:f>
      </x:c>
      <x:c r="I45" s="20" t="str">
        <x:f>_xlfn.IFNA(VLOOKUP(_xlfn.CONCAT("T",I$1,"V",$D45,"A",$A45),Vulnerabilities!$G:$G,1,FALSE),"")</x:f>
      </x:c>
      <x:c r="J45" s="20" t="str">
        <x:f>_xlfn.IFNA(VLOOKUP(_xlfn.CONCAT("T",J$1,"V",$D45,"A",$A45),Vulnerabilities!$G:$G,1,FALSE),"")</x:f>
      </x:c>
      <x:c r="K45" s="20" t="str">
        <x:f>_xlfn.IFNA(VLOOKUP(_xlfn.CONCAT("T",K$1,"V",$D45,"A",$A45),Vulnerabilities!$G:$G,1,FALSE),"")</x:f>
      </x:c>
      <x:c r="L45" s="20" t="str">
        <x:f>_xlfn.IFNA(VLOOKUP(_xlfn.CONCAT("T",L$1,"V",$D45,"A",$A45),Vulnerabilities!$G:$G,1,FALSE),"")</x:f>
      </x:c>
      <x:c r="M45" s="20" t="str">
        <x:f>_xlfn.IFNA(VLOOKUP(_xlfn.CONCAT("T",M$1,"V",$D45,"A",$A45),Vulnerabilities!$G:$G,1,FALSE),"")</x:f>
      </x:c>
      <x:c r="N45" s="20" t="str">
        <x:f>_xlfn.IFNA(VLOOKUP(_xlfn.CONCAT("T",N$1,"V",$D45,"A",$A45),Vulnerabilities!$G:$G,1,FALSE),"")</x:f>
      </x:c>
      <x:c r="O45" s="20" t="str">
        <x:f>_xlfn.IFNA(VLOOKUP(_xlfn.CONCAT("T",O$1,"V",$D45,"A",$A45),Vulnerabilities!$G:$G,1,FALSE),"")</x:f>
      </x:c>
      <x:c r="P45" s="16" t="str">
        <x:f>_xlfn.IFNA(VLOOKUP(_xlfn.CONCAT("T",P$1,"V",$D45,"A",$A45),Vulnerabilities!$G:$G,1,FALSE),"")</x:f>
      </x:c>
    </x:row>
    <x:row r="46">
      <x:c r="A46" s="11">
        <x:f t="shared" si="1"/>
        <x:v>11</x:v>
      </x:c>
      <x:c r="B46" s="12" t="str">
        <x:f>IF(VLOOKUP($A46,Assets!$A:$C,2,FALSE)=0,"",VLOOKUP($A46,Assets!$A:$C,2,FALSE))</x:f>
      </x:c>
      <x:c r="C46" s="12" t="str">
        <x:f>IF(VLOOKUP($A46,Assets!$A:$C,3,FALSE)=0,"",VLOOKUP($A46,Assets!$A:$C,3,FALSE))</x:f>
      </x:c>
      <x:c r="D46" s="17">
        <x:v>4</x:v>
      </x:c>
      <x:c r="E46" s="21" t="str">
        <x:f>_xlfn.IFNA(VLOOKUP(_xlfn.CONCAT("T",E$1,"V",$D46,"A",$A46),Vulnerabilities!$G:$G,1,FALSE),"")</x:f>
      </x:c>
      <x:c r="F46" s="21" t="str">
        <x:f>_xlfn.IFNA(VLOOKUP(_xlfn.CONCAT("T",F$1,"V",$D46,"A",$A46),Vulnerabilities!$G:$G,1,FALSE),"")</x:f>
      </x:c>
      <x:c r="G46" s="21" t="str">
        <x:f>_xlfn.IFNA(VLOOKUP(_xlfn.CONCAT("T",G$1,"V",$D46,"A",$A46),Vulnerabilities!$G:$G,1,FALSE),"")</x:f>
      </x:c>
      <x:c r="H46" s="21" t="str">
        <x:f>_xlfn.IFNA(VLOOKUP(_xlfn.CONCAT("T",H$1,"V",$D46,"A",$A46),Vulnerabilities!$G:$G,1,FALSE),"")</x:f>
      </x:c>
      <x:c r="I46" s="21" t="str">
        <x:f>_xlfn.IFNA(VLOOKUP(_xlfn.CONCAT("T",I$1,"V",$D46,"A",$A46),Vulnerabilities!$G:$G,1,FALSE),"")</x:f>
      </x:c>
      <x:c r="J46" s="21" t="str">
        <x:f>_xlfn.IFNA(VLOOKUP(_xlfn.CONCAT("T",J$1,"V",$D46,"A",$A46),Vulnerabilities!$G:$G,1,FALSE),"")</x:f>
      </x:c>
      <x:c r="K46" s="21" t="str">
        <x:f>_xlfn.IFNA(VLOOKUP(_xlfn.CONCAT("T",K$1,"V",$D46,"A",$A46),Vulnerabilities!$G:$G,1,FALSE),"")</x:f>
      </x:c>
      <x:c r="L46" s="21" t="str">
        <x:f>_xlfn.IFNA(VLOOKUP(_xlfn.CONCAT("T",L$1,"V",$D46,"A",$A46),Vulnerabilities!$G:$G,1,FALSE),"")</x:f>
      </x:c>
      <x:c r="M46" s="21" t="str">
        <x:f>_xlfn.IFNA(VLOOKUP(_xlfn.CONCAT("T",M$1,"V",$D46,"A",$A46),Vulnerabilities!$G:$G,1,FALSE),"")</x:f>
      </x:c>
      <x:c r="N46" s="21" t="str">
        <x:f>_xlfn.IFNA(VLOOKUP(_xlfn.CONCAT("T",N$1,"V",$D46,"A",$A46),Vulnerabilities!$G:$G,1,FALSE),"")</x:f>
      </x:c>
      <x:c r="O46" s="21" t="str">
        <x:f>_xlfn.IFNA(VLOOKUP(_xlfn.CONCAT("T",O$1,"V",$D46,"A",$A46),Vulnerabilities!$G:$G,1,FALSE),"")</x:f>
      </x:c>
      <x:c r="P46" s="17" t="str">
        <x:f>_xlfn.IFNA(VLOOKUP(_xlfn.CONCAT("T",P$1,"V",$D46,"A",$A46),Vulnerabilities!$G:$G,1,FALSE),"")</x:f>
      </x:c>
    </x:row>
    <x:row r="47">
      <x:c r="A47" s="1">
        <x:f t="shared" si="1"/>
        <x:v>12</x:v>
      </x:c>
      <x:c r="B47" t="str">
        <x:f>IF(VLOOKUP($A47,Assets!$A:$C,2,FALSE)=0,"",VLOOKUP($A47,Assets!$A:$C,2,FALSE))</x:f>
      </x:c>
      <x:c r="C47" t="str">
        <x:f>IF(VLOOKUP($A47,Assets!$A:$C,3,FALSE)=0,"",VLOOKUP($A47,Assets!$A:$C,3,FALSE))</x:f>
      </x:c>
      <x:c r="D47" s="16">
        <x:v>1</x:v>
      </x:c>
      <x:c r="E47" s="20" t="str">
        <x:f>_xlfn.IFNA(VLOOKUP(_xlfn.CONCAT("T",E$1,"V",$D47,"A",$A47),Vulnerabilities!$G:$G,1,FALSE),"")</x:f>
      </x:c>
      <x:c r="F47" s="20" t="str">
        <x:f>_xlfn.IFNA(VLOOKUP(_xlfn.CONCAT("T",F$1,"V",$D47,"A",$A47),Vulnerabilities!$G:$G,1,FALSE),"")</x:f>
      </x:c>
      <x:c r="G47" s="20" t="str">
        <x:f>_xlfn.IFNA(VLOOKUP(_xlfn.CONCAT("T",G$1,"V",$D47,"A",$A47),Vulnerabilities!$G:$G,1,FALSE),"")</x:f>
      </x:c>
      <x:c r="H47" s="20" t="str">
        <x:f>_xlfn.IFNA(VLOOKUP(_xlfn.CONCAT("T",H$1,"V",$D47,"A",$A47),Vulnerabilities!$G:$G,1,FALSE),"")</x:f>
      </x:c>
      <x:c r="I47" s="20" t="str">
        <x:f>_xlfn.IFNA(VLOOKUP(_xlfn.CONCAT("T",I$1,"V",$D47,"A",$A47),Vulnerabilities!$G:$G,1,FALSE),"")</x:f>
      </x:c>
      <x:c r="J47" s="20" t="str">
        <x:f>_xlfn.IFNA(VLOOKUP(_xlfn.CONCAT("T",J$1,"V",$D47,"A",$A47),Vulnerabilities!$G:$G,1,FALSE),"")</x:f>
      </x:c>
      <x:c r="K47" s="20" t="str">
        <x:f>_xlfn.IFNA(VLOOKUP(_xlfn.CONCAT("T",K$1,"V",$D47,"A",$A47),Vulnerabilities!$G:$G,1,FALSE),"")</x:f>
      </x:c>
      <x:c r="L47" s="20" t="str">
        <x:f>_xlfn.IFNA(VLOOKUP(_xlfn.CONCAT("T",L$1,"V",$D47,"A",$A47),Vulnerabilities!$G:$G,1,FALSE),"")</x:f>
      </x:c>
      <x:c r="M47" s="20" t="str">
        <x:f>_xlfn.IFNA(VLOOKUP(_xlfn.CONCAT("T",M$1,"V",$D47,"A",$A47),Vulnerabilities!$G:$G,1,FALSE),"")</x:f>
      </x:c>
      <x:c r="N47" s="20" t="str">
        <x:f>_xlfn.IFNA(VLOOKUP(_xlfn.CONCAT("T",N$1,"V",$D47,"A",$A47),Vulnerabilities!$G:$G,1,FALSE),"")</x:f>
      </x:c>
      <x:c r="O47" s="20" t="str">
        <x:f>_xlfn.IFNA(VLOOKUP(_xlfn.CONCAT("T",O$1,"V",$D47,"A",$A47),Vulnerabilities!$G:$G,1,FALSE),"")</x:f>
      </x:c>
      <x:c r="P47" s="16" t="str">
        <x:f>_xlfn.IFNA(VLOOKUP(_xlfn.CONCAT("T",P$1,"V",$D47,"A",$A47),Vulnerabilities!$G:$G,1,FALSE),"")</x:f>
      </x:c>
    </x:row>
    <x:row r="48">
      <x:c r="A48" s="1">
        <x:f t="shared" si="1"/>
        <x:v>12</x:v>
      </x:c>
      <x:c r="B48" t="str">
        <x:f>IF(VLOOKUP($A48,Assets!$A:$C,2,FALSE)=0,"",VLOOKUP($A48,Assets!$A:$C,2,FALSE))</x:f>
      </x:c>
      <x:c r="C48" t="str">
        <x:f>IF(VLOOKUP($A48,Assets!$A:$C,3,FALSE)=0,"",VLOOKUP($A48,Assets!$A:$C,3,FALSE))</x:f>
      </x:c>
      <x:c r="D48" s="16">
        <x:v>2</x:v>
      </x:c>
      <x:c r="E48" s="20" t="str">
        <x:f>_xlfn.IFNA(VLOOKUP(_xlfn.CONCAT("T",E$1,"V",$D48,"A",$A48),Vulnerabilities!$G:$G,1,FALSE),"")</x:f>
      </x:c>
      <x:c r="F48" s="20" t="str">
        <x:f>_xlfn.IFNA(VLOOKUP(_xlfn.CONCAT("T",F$1,"V",$D48,"A",$A48),Vulnerabilities!$G:$G,1,FALSE),"")</x:f>
      </x:c>
      <x:c r="G48" s="20" t="str">
        <x:f>_xlfn.IFNA(VLOOKUP(_xlfn.CONCAT("T",G$1,"V",$D48,"A",$A48),Vulnerabilities!$G:$G,1,FALSE),"")</x:f>
      </x:c>
      <x:c r="H48" s="20" t="str">
        <x:f>_xlfn.IFNA(VLOOKUP(_xlfn.CONCAT("T",H$1,"V",$D48,"A",$A48),Vulnerabilities!$G:$G,1,FALSE),"")</x:f>
      </x:c>
      <x:c r="I48" s="20" t="str">
        <x:f>_xlfn.IFNA(VLOOKUP(_xlfn.CONCAT("T",I$1,"V",$D48,"A",$A48),Vulnerabilities!$G:$G,1,FALSE),"")</x:f>
      </x:c>
      <x:c r="J48" s="20" t="str">
        <x:f>_xlfn.IFNA(VLOOKUP(_xlfn.CONCAT("T",J$1,"V",$D48,"A",$A48),Vulnerabilities!$G:$G,1,FALSE),"")</x:f>
      </x:c>
      <x:c r="K48" s="20" t="str">
        <x:f>_xlfn.IFNA(VLOOKUP(_xlfn.CONCAT("T",K$1,"V",$D48,"A",$A48),Vulnerabilities!$G:$G,1,FALSE),"")</x:f>
      </x:c>
      <x:c r="L48" s="20" t="str">
        <x:f>_xlfn.IFNA(VLOOKUP(_xlfn.CONCAT("T",L$1,"V",$D48,"A",$A48),Vulnerabilities!$G:$G,1,FALSE),"")</x:f>
      </x:c>
      <x:c r="M48" s="20" t="str">
        <x:f>_xlfn.IFNA(VLOOKUP(_xlfn.CONCAT("T",M$1,"V",$D48,"A",$A48),Vulnerabilities!$G:$G,1,FALSE),"")</x:f>
      </x:c>
      <x:c r="N48" s="20" t="str">
        <x:f>_xlfn.IFNA(VLOOKUP(_xlfn.CONCAT("T",N$1,"V",$D48,"A",$A48),Vulnerabilities!$G:$G,1,FALSE),"")</x:f>
      </x:c>
      <x:c r="O48" s="20" t="str">
        <x:f>_xlfn.IFNA(VLOOKUP(_xlfn.CONCAT("T",O$1,"V",$D48,"A",$A48),Vulnerabilities!$G:$G,1,FALSE),"")</x:f>
      </x:c>
      <x:c r="P48" s="16" t="str">
        <x:f>_xlfn.IFNA(VLOOKUP(_xlfn.CONCAT("T",P$1,"V",$D48,"A",$A48),Vulnerabilities!$G:$G,1,FALSE),"")</x:f>
      </x:c>
    </x:row>
    <x:row r="49">
      <x:c r="A49" s="1">
        <x:f t="shared" si="1"/>
        <x:v>12</x:v>
      </x:c>
      <x:c r="B49" t="str">
        <x:f>IF(VLOOKUP($A49,Assets!$A:$C,2,FALSE)=0,"",VLOOKUP($A49,Assets!$A:$C,2,FALSE))</x:f>
      </x:c>
      <x:c r="C49" t="str">
        <x:f>IF(VLOOKUP($A49,Assets!$A:$C,3,FALSE)=0,"",VLOOKUP($A49,Assets!$A:$C,3,FALSE))</x:f>
      </x:c>
      <x:c r="D49" s="16">
        <x:v>3</x:v>
      </x:c>
      <x:c r="E49" s="20" t="str">
        <x:f>_xlfn.IFNA(VLOOKUP(_xlfn.CONCAT("T",E$1,"V",$D49,"A",$A49),Vulnerabilities!$G:$G,1,FALSE),"")</x:f>
      </x:c>
      <x:c r="F49" s="20" t="str">
        <x:f>_xlfn.IFNA(VLOOKUP(_xlfn.CONCAT("T",F$1,"V",$D49,"A",$A49),Vulnerabilities!$G:$G,1,FALSE),"")</x:f>
      </x:c>
      <x:c r="G49" s="20" t="str">
        <x:f>_xlfn.IFNA(VLOOKUP(_xlfn.CONCAT("T",G$1,"V",$D49,"A",$A49),Vulnerabilities!$G:$G,1,FALSE),"")</x:f>
      </x:c>
      <x:c r="H49" s="20" t="str">
        <x:f>_xlfn.IFNA(VLOOKUP(_xlfn.CONCAT("T",H$1,"V",$D49,"A",$A49),Vulnerabilities!$G:$G,1,FALSE),"")</x:f>
      </x:c>
      <x:c r="I49" s="20" t="str">
        <x:f>_xlfn.IFNA(VLOOKUP(_xlfn.CONCAT("T",I$1,"V",$D49,"A",$A49),Vulnerabilities!$G:$G,1,FALSE),"")</x:f>
      </x:c>
      <x:c r="J49" s="20" t="str">
        <x:f>_xlfn.IFNA(VLOOKUP(_xlfn.CONCAT("T",J$1,"V",$D49,"A",$A49),Vulnerabilities!$G:$G,1,FALSE),"")</x:f>
      </x:c>
      <x:c r="K49" s="20" t="str">
        <x:f>_xlfn.IFNA(VLOOKUP(_xlfn.CONCAT("T",K$1,"V",$D49,"A",$A49),Vulnerabilities!$G:$G,1,FALSE),"")</x:f>
      </x:c>
      <x:c r="L49" s="20" t="str">
        <x:f>_xlfn.IFNA(VLOOKUP(_xlfn.CONCAT("T",L$1,"V",$D49,"A",$A49),Vulnerabilities!$G:$G,1,FALSE),"")</x:f>
      </x:c>
      <x:c r="M49" s="20" t="str">
        <x:f>_xlfn.IFNA(VLOOKUP(_xlfn.CONCAT("T",M$1,"V",$D49,"A",$A49),Vulnerabilities!$G:$G,1,FALSE),"")</x:f>
      </x:c>
      <x:c r="N49" s="20" t="str">
        <x:f>_xlfn.IFNA(VLOOKUP(_xlfn.CONCAT("T",N$1,"V",$D49,"A",$A49),Vulnerabilities!$G:$G,1,FALSE),"")</x:f>
      </x:c>
      <x:c r="O49" s="20" t="str">
        <x:f>_xlfn.IFNA(VLOOKUP(_xlfn.CONCAT("T",O$1,"V",$D49,"A",$A49),Vulnerabilities!$G:$G,1,FALSE),"")</x:f>
      </x:c>
      <x:c r="P49" s="16" t="str">
        <x:f>_xlfn.IFNA(VLOOKUP(_xlfn.CONCAT("T",P$1,"V",$D49,"A",$A49),Vulnerabilities!$G:$G,1,FALSE),"")</x:f>
      </x:c>
    </x:row>
    <x:row r="50">
      <x:c r="A50" s="11">
        <x:f t="shared" si="1"/>
        <x:v>12</x:v>
      </x:c>
      <x:c r="B50" s="12" t="str">
        <x:f>IF(VLOOKUP($A50,Assets!$A:$C,2,FALSE)=0,"",VLOOKUP($A50,Assets!$A:$C,2,FALSE))</x:f>
      </x:c>
      <x:c r="C50" s="12" t="str">
        <x:f>IF(VLOOKUP($A50,Assets!$A:$C,3,FALSE)=0,"",VLOOKUP($A50,Assets!$A:$C,3,FALSE))</x:f>
      </x:c>
      <x:c r="D50" s="17">
        <x:v>4</x:v>
      </x:c>
      <x:c r="E50" s="21" t="str">
        <x:f>_xlfn.IFNA(VLOOKUP(_xlfn.CONCAT("T",E$1,"V",$D50,"A",$A50),Vulnerabilities!$G:$G,1,FALSE),"")</x:f>
      </x:c>
      <x:c r="F50" s="21" t="str">
        <x:f>_xlfn.IFNA(VLOOKUP(_xlfn.CONCAT("T",F$1,"V",$D50,"A",$A50),Vulnerabilities!$G:$G,1,FALSE),"")</x:f>
      </x:c>
      <x:c r="G50" s="21" t="str">
        <x:f>_xlfn.IFNA(VLOOKUP(_xlfn.CONCAT("T",G$1,"V",$D50,"A",$A50),Vulnerabilities!$G:$G,1,FALSE),"")</x:f>
      </x:c>
      <x:c r="H50" s="21" t="str">
        <x:f>_xlfn.IFNA(VLOOKUP(_xlfn.CONCAT("T",H$1,"V",$D50,"A",$A50),Vulnerabilities!$G:$G,1,FALSE),"")</x:f>
      </x:c>
      <x:c r="I50" s="21" t="str">
        <x:f>_xlfn.IFNA(VLOOKUP(_xlfn.CONCAT("T",I$1,"V",$D50,"A",$A50),Vulnerabilities!$G:$G,1,FALSE),"")</x:f>
      </x:c>
      <x:c r="J50" s="21" t="str">
        <x:f>_xlfn.IFNA(VLOOKUP(_xlfn.CONCAT("T",J$1,"V",$D50,"A",$A50),Vulnerabilities!$G:$G,1,FALSE),"")</x:f>
      </x:c>
      <x:c r="K50" s="21" t="str">
        <x:f>_xlfn.IFNA(VLOOKUP(_xlfn.CONCAT("T",K$1,"V",$D50,"A",$A50),Vulnerabilities!$G:$G,1,FALSE),"")</x:f>
      </x:c>
      <x:c r="L50" s="21" t="str">
        <x:f>_xlfn.IFNA(VLOOKUP(_xlfn.CONCAT("T",L$1,"V",$D50,"A",$A50),Vulnerabilities!$G:$G,1,FALSE),"")</x:f>
      </x:c>
      <x:c r="M50" s="21" t="str">
        <x:f>_xlfn.IFNA(VLOOKUP(_xlfn.CONCAT("T",M$1,"V",$D50,"A",$A50),Vulnerabilities!$G:$G,1,FALSE),"")</x:f>
      </x:c>
      <x:c r="N50" s="21" t="str">
        <x:f>_xlfn.IFNA(VLOOKUP(_xlfn.CONCAT("T",N$1,"V",$D50,"A",$A50),Vulnerabilities!$G:$G,1,FALSE),"")</x:f>
      </x:c>
      <x:c r="O50" s="21" t="str">
        <x:f>_xlfn.IFNA(VLOOKUP(_xlfn.CONCAT("T",O$1,"V",$D50,"A",$A50),Vulnerabilities!$G:$G,1,FALSE),"")</x:f>
      </x:c>
      <x:c r="P50" s="17" t="str">
        <x:f>_xlfn.IFNA(VLOOKUP(_xlfn.CONCAT("T",P$1,"V",$D50,"A",$A50),Vulnerabilities!$G:$G,1,FALSE),"")</x:f>
      </x:c>
    </x:row>
    <x:row r="51">
      <x:c r="A51" s="1">
        <x:f t="shared" si="1"/>
        <x:v>13</x:v>
      </x:c>
      <x:c r="B51" t="str">
        <x:f>IF(VLOOKUP($A51,Assets!$A:$C,2,FALSE)=0,"",VLOOKUP($A51,Assets!$A:$C,2,FALSE))</x:f>
      </x:c>
      <x:c r="C51" t="str">
        <x:f>IF(VLOOKUP($A51,Assets!$A:$C,3,FALSE)=0,"",VLOOKUP($A51,Assets!$A:$C,3,FALSE))</x:f>
      </x:c>
      <x:c r="D51" s="16">
        <x:v>1</x:v>
      </x:c>
      <x:c r="E51" s="20" t="str">
        <x:f>_xlfn.IFNA(VLOOKUP(_xlfn.CONCAT("T",E$1,"V",$D51,"A",$A51),Vulnerabilities!$G:$G,1,FALSE),"")</x:f>
      </x:c>
      <x:c r="F51" s="20" t="str">
        <x:f>_xlfn.IFNA(VLOOKUP(_xlfn.CONCAT("T",F$1,"V",$D51,"A",$A51),Vulnerabilities!$G:$G,1,FALSE),"")</x:f>
      </x:c>
      <x:c r="G51" s="20" t="str">
        <x:f>_xlfn.IFNA(VLOOKUP(_xlfn.CONCAT("T",G$1,"V",$D51,"A",$A51),Vulnerabilities!$G:$G,1,FALSE),"")</x:f>
      </x:c>
      <x:c r="H51" s="20" t="str">
        <x:f>_xlfn.IFNA(VLOOKUP(_xlfn.CONCAT("T",H$1,"V",$D51,"A",$A51),Vulnerabilities!$G:$G,1,FALSE),"")</x:f>
      </x:c>
      <x:c r="I51" s="20" t="str">
        <x:f>_xlfn.IFNA(VLOOKUP(_xlfn.CONCAT("T",I$1,"V",$D51,"A",$A51),Vulnerabilities!$G:$G,1,FALSE),"")</x:f>
      </x:c>
      <x:c r="J51" s="20" t="str">
        <x:f>_xlfn.IFNA(VLOOKUP(_xlfn.CONCAT("T",J$1,"V",$D51,"A",$A51),Vulnerabilities!$G:$G,1,FALSE),"")</x:f>
      </x:c>
      <x:c r="K51" s="20" t="str">
        <x:f>_xlfn.IFNA(VLOOKUP(_xlfn.CONCAT("T",K$1,"V",$D51,"A",$A51),Vulnerabilities!$G:$G,1,FALSE),"")</x:f>
      </x:c>
      <x:c r="L51" s="20" t="str">
        <x:f>_xlfn.IFNA(VLOOKUP(_xlfn.CONCAT("T",L$1,"V",$D51,"A",$A51),Vulnerabilities!$G:$G,1,FALSE),"")</x:f>
      </x:c>
      <x:c r="M51" s="20" t="str">
        <x:f>_xlfn.IFNA(VLOOKUP(_xlfn.CONCAT("T",M$1,"V",$D51,"A",$A51),Vulnerabilities!$G:$G,1,FALSE),"")</x:f>
      </x:c>
      <x:c r="N51" s="20" t="str">
        <x:f>_xlfn.IFNA(VLOOKUP(_xlfn.CONCAT("T",N$1,"V",$D51,"A",$A51),Vulnerabilities!$G:$G,1,FALSE),"")</x:f>
      </x:c>
      <x:c r="O51" s="20" t="str">
        <x:f>_xlfn.IFNA(VLOOKUP(_xlfn.CONCAT("T",O$1,"V",$D51,"A",$A51),Vulnerabilities!$G:$G,1,FALSE),"")</x:f>
      </x:c>
      <x:c r="P51" s="16" t="str">
        <x:f>_xlfn.IFNA(VLOOKUP(_xlfn.CONCAT("T",P$1,"V",$D51,"A",$A51),Vulnerabilities!$G:$G,1,FALSE),"")</x:f>
      </x:c>
    </x:row>
    <x:row r="52">
      <x:c r="A52" s="1">
        <x:f t="shared" si="1"/>
        <x:v>13</x:v>
      </x:c>
      <x:c r="B52" t="str">
        <x:f>IF(VLOOKUP($A52,Assets!$A:$C,2,FALSE)=0,"",VLOOKUP($A52,Assets!$A:$C,2,FALSE))</x:f>
      </x:c>
      <x:c r="C52" t="str">
        <x:f>IF(VLOOKUP($A52,Assets!$A:$C,3,FALSE)=0,"",VLOOKUP($A52,Assets!$A:$C,3,FALSE))</x:f>
      </x:c>
      <x:c r="D52" s="16">
        <x:v>2</x:v>
      </x:c>
      <x:c r="E52" s="20" t="str">
        <x:f>_xlfn.IFNA(VLOOKUP(_xlfn.CONCAT("T",E$1,"V",$D52,"A",$A52),Vulnerabilities!$G:$G,1,FALSE),"")</x:f>
      </x:c>
      <x:c r="F52" s="20" t="str">
        <x:f>_xlfn.IFNA(VLOOKUP(_xlfn.CONCAT("T",F$1,"V",$D52,"A",$A52),Vulnerabilities!$G:$G,1,FALSE),"")</x:f>
      </x:c>
      <x:c r="G52" s="20" t="str">
        <x:f>_xlfn.IFNA(VLOOKUP(_xlfn.CONCAT("T",G$1,"V",$D52,"A",$A52),Vulnerabilities!$G:$G,1,FALSE),"")</x:f>
      </x:c>
      <x:c r="H52" s="20" t="str">
        <x:f>_xlfn.IFNA(VLOOKUP(_xlfn.CONCAT("T",H$1,"V",$D52,"A",$A52),Vulnerabilities!$G:$G,1,FALSE),"")</x:f>
      </x:c>
      <x:c r="I52" s="20" t="str">
        <x:f>_xlfn.IFNA(VLOOKUP(_xlfn.CONCAT("T",I$1,"V",$D52,"A",$A52),Vulnerabilities!$G:$G,1,FALSE),"")</x:f>
      </x:c>
      <x:c r="J52" s="20" t="str">
        <x:f>_xlfn.IFNA(VLOOKUP(_xlfn.CONCAT("T",J$1,"V",$D52,"A",$A52),Vulnerabilities!$G:$G,1,FALSE),"")</x:f>
      </x:c>
      <x:c r="K52" s="20" t="str">
        <x:f>_xlfn.IFNA(VLOOKUP(_xlfn.CONCAT("T",K$1,"V",$D52,"A",$A52),Vulnerabilities!$G:$G,1,FALSE),"")</x:f>
      </x:c>
      <x:c r="L52" s="20" t="str">
        <x:f>_xlfn.IFNA(VLOOKUP(_xlfn.CONCAT("T",L$1,"V",$D52,"A",$A52),Vulnerabilities!$G:$G,1,FALSE),"")</x:f>
      </x:c>
      <x:c r="M52" s="20" t="str">
        <x:f>_xlfn.IFNA(VLOOKUP(_xlfn.CONCAT("T",M$1,"V",$D52,"A",$A52),Vulnerabilities!$G:$G,1,FALSE),"")</x:f>
      </x:c>
      <x:c r="N52" s="20" t="str">
        <x:f>_xlfn.IFNA(VLOOKUP(_xlfn.CONCAT("T",N$1,"V",$D52,"A",$A52),Vulnerabilities!$G:$G,1,FALSE),"")</x:f>
      </x:c>
      <x:c r="O52" s="20" t="str">
        <x:f>_xlfn.IFNA(VLOOKUP(_xlfn.CONCAT("T",O$1,"V",$D52,"A",$A52),Vulnerabilities!$G:$G,1,FALSE),"")</x:f>
      </x:c>
      <x:c r="P52" s="16" t="str">
        <x:f>_xlfn.IFNA(VLOOKUP(_xlfn.CONCAT("T",P$1,"V",$D52,"A",$A52),Vulnerabilities!$G:$G,1,FALSE),"")</x:f>
      </x:c>
    </x:row>
    <x:row r="53">
      <x:c r="A53" s="1">
        <x:f t="shared" si="1"/>
        <x:v>13</x:v>
      </x:c>
      <x:c r="B53" t="str">
        <x:f>IF(VLOOKUP($A53,Assets!$A:$C,2,FALSE)=0,"",VLOOKUP($A53,Assets!$A:$C,2,FALSE))</x:f>
      </x:c>
      <x:c r="C53" t="str">
        <x:f>IF(VLOOKUP($A53,Assets!$A:$C,3,FALSE)=0,"",VLOOKUP($A53,Assets!$A:$C,3,FALSE))</x:f>
      </x:c>
      <x:c r="D53" s="16">
        <x:v>3</x:v>
      </x:c>
      <x:c r="E53" s="20" t="str">
        <x:f>_xlfn.IFNA(VLOOKUP(_xlfn.CONCAT("T",E$1,"V",$D53,"A",$A53),Vulnerabilities!$G:$G,1,FALSE),"")</x:f>
      </x:c>
      <x:c r="F53" s="20" t="str">
        <x:f>_xlfn.IFNA(VLOOKUP(_xlfn.CONCAT("T",F$1,"V",$D53,"A",$A53),Vulnerabilities!$G:$G,1,FALSE),"")</x:f>
      </x:c>
      <x:c r="G53" s="20" t="str">
        <x:f>_xlfn.IFNA(VLOOKUP(_xlfn.CONCAT("T",G$1,"V",$D53,"A",$A53),Vulnerabilities!$G:$G,1,FALSE),"")</x:f>
      </x:c>
      <x:c r="H53" s="20" t="str">
        <x:f>_xlfn.IFNA(VLOOKUP(_xlfn.CONCAT("T",H$1,"V",$D53,"A",$A53),Vulnerabilities!$G:$G,1,FALSE),"")</x:f>
      </x:c>
      <x:c r="I53" s="20" t="str">
        <x:f>_xlfn.IFNA(VLOOKUP(_xlfn.CONCAT("T",I$1,"V",$D53,"A",$A53),Vulnerabilities!$G:$G,1,FALSE),"")</x:f>
      </x:c>
      <x:c r="J53" s="20" t="str">
        <x:f>_xlfn.IFNA(VLOOKUP(_xlfn.CONCAT("T",J$1,"V",$D53,"A",$A53),Vulnerabilities!$G:$G,1,FALSE),"")</x:f>
      </x:c>
      <x:c r="K53" s="20" t="str">
        <x:f>_xlfn.IFNA(VLOOKUP(_xlfn.CONCAT("T",K$1,"V",$D53,"A",$A53),Vulnerabilities!$G:$G,1,FALSE),"")</x:f>
      </x:c>
      <x:c r="L53" s="20" t="str">
        <x:f>_xlfn.IFNA(VLOOKUP(_xlfn.CONCAT("T",L$1,"V",$D53,"A",$A53),Vulnerabilities!$G:$G,1,FALSE),"")</x:f>
      </x:c>
      <x:c r="M53" s="20" t="str">
        <x:f>_xlfn.IFNA(VLOOKUP(_xlfn.CONCAT("T",M$1,"V",$D53,"A",$A53),Vulnerabilities!$G:$G,1,FALSE),"")</x:f>
      </x:c>
      <x:c r="N53" s="20" t="str">
        <x:f>_xlfn.IFNA(VLOOKUP(_xlfn.CONCAT("T",N$1,"V",$D53,"A",$A53),Vulnerabilities!$G:$G,1,FALSE),"")</x:f>
      </x:c>
      <x:c r="O53" s="20" t="str">
        <x:f>_xlfn.IFNA(VLOOKUP(_xlfn.CONCAT("T",O$1,"V",$D53,"A",$A53),Vulnerabilities!$G:$G,1,FALSE),"")</x:f>
      </x:c>
      <x:c r="P53" s="16" t="str">
        <x:f>_xlfn.IFNA(VLOOKUP(_xlfn.CONCAT("T",P$1,"V",$D53,"A",$A53),Vulnerabilities!$G:$G,1,FALSE),"")</x:f>
      </x:c>
    </x:row>
    <x:row r="54">
      <x:c r="A54" s="11">
        <x:f t="shared" si="1"/>
        <x:v>13</x:v>
      </x:c>
      <x:c r="B54" s="12" t="str">
        <x:f>IF(VLOOKUP($A54,Assets!$A:$C,2,FALSE)=0,"",VLOOKUP($A54,Assets!$A:$C,2,FALSE))</x:f>
      </x:c>
      <x:c r="C54" s="12" t="str">
        <x:f>IF(VLOOKUP($A54,Assets!$A:$C,3,FALSE)=0,"",VLOOKUP($A54,Assets!$A:$C,3,FALSE))</x:f>
      </x:c>
      <x:c r="D54" s="17">
        <x:v>4</x:v>
      </x:c>
      <x:c r="E54" s="21" t="str">
        <x:f>_xlfn.IFNA(VLOOKUP(_xlfn.CONCAT("T",E$1,"V",$D54,"A",$A54),Vulnerabilities!$G:$G,1,FALSE),"")</x:f>
      </x:c>
      <x:c r="F54" s="21" t="str">
        <x:f>_xlfn.IFNA(VLOOKUP(_xlfn.CONCAT("T",F$1,"V",$D54,"A",$A54),Vulnerabilities!$G:$G,1,FALSE),"")</x:f>
      </x:c>
      <x:c r="G54" s="21" t="str">
        <x:f>_xlfn.IFNA(VLOOKUP(_xlfn.CONCAT("T",G$1,"V",$D54,"A",$A54),Vulnerabilities!$G:$G,1,FALSE),"")</x:f>
      </x:c>
      <x:c r="H54" s="21" t="str">
        <x:f>_xlfn.IFNA(VLOOKUP(_xlfn.CONCAT("T",H$1,"V",$D54,"A",$A54),Vulnerabilities!$G:$G,1,FALSE),"")</x:f>
      </x:c>
      <x:c r="I54" s="21" t="str">
        <x:f>_xlfn.IFNA(VLOOKUP(_xlfn.CONCAT("T",I$1,"V",$D54,"A",$A54),Vulnerabilities!$G:$G,1,FALSE),"")</x:f>
      </x:c>
      <x:c r="J54" s="21" t="str">
        <x:f>_xlfn.IFNA(VLOOKUP(_xlfn.CONCAT("T",J$1,"V",$D54,"A",$A54),Vulnerabilities!$G:$G,1,FALSE),"")</x:f>
      </x:c>
      <x:c r="K54" s="21" t="str">
        <x:f>_xlfn.IFNA(VLOOKUP(_xlfn.CONCAT("T",K$1,"V",$D54,"A",$A54),Vulnerabilities!$G:$G,1,FALSE),"")</x:f>
      </x:c>
      <x:c r="L54" s="21" t="str">
        <x:f>_xlfn.IFNA(VLOOKUP(_xlfn.CONCAT("T",L$1,"V",$D54,"A",$A54),Vulnerabilities!$G:$G,1,FALSE),"")</x:f>
      </x:c>
      <x:c r="M54" s="21" t="str">
        <x:f>_xlfn.IFNA(VLOOKUP(_xlfn.CONCAT("T",M$1,"V",$D54,"A",$A54),Vulnerabilities!$G:$G,1,FALSE),"")</x:f>
      </x:c>
      <x:c r="N54" s="21" t="str">
        <x:f>_xlfn.IFNA(VLOOKUP(_xlfn.CONCAT("T",N$1,"V",$D54,"A",$A54),Vulnerabilities!$G:$G,1,FALSE),"")</x:f>
      </x:c>
      <x:c r="O54" s="21" t="str">
        <x:f>_xlfn.IFNA(VLOOKUP(_xlfn.CONCAT("T",O$1,"V",$D54,"A",$A54),Vulnerabilities!$G:$G,1,FALSE),"")</x:f>
      </x:c>
      <x:c r="P54" s="17" t="str">
        <x:f>_xlfn.IFNA(VLOOKUP(_xlfn.CONCAT("T",P$1,"V",$D54,"A",$A54),Vulnerabilities!$G:$G,1,FALSE),"")</x:f>
      </x:c>
    </x:row>
    <x:row r="55">
      <x:c r="A55" s="1">
        <x:f t="shared" si="1"/>
        <x:v>14</x:v>
      </x:c>
      <x:c r="B55" t="str">
        <x:f>IF(VLOOKUP($A55,Assets!$A:$C,2,FALSE)=0,"",VLOOKUP($A55,Assets!$A:$C,2,FALSE))</x:f>
      </x:c>
      <x:c r="C55" t="str">
        <x:f>IF(VLOOKUP($A55,Assets!$A:$C,3,FALSE)=0,"",VLOOKUP($A55,Assets!$A:$C,3,FALSE))</x:f>
      </x:c>
      <x:c r="D55" s="16">
        <x:v>1</x:v>
      </x:c>
      <x:c r="E55" s="20" t="str">
        <x:f>_xlfn.IFNA(VLOOKUP(_xlfn.CONCAT("T",E$1,"V",$D55,"A",$A55),Vulnerabilities!$G:$G,1,FALSE),"")</x:f>
      </x:c>
      <x:c r="F55" s="20" t="str">
        <x:f>_xlfn.IFNA(VLOOKUP(_xlfn.CONCAT("T",F$1,"V",$D55,"A",$A55),Vulnerabilities!$G:$G,1,FALSE),"")</x:f>
      </x:c>
      <x:c r="G55" s="20" t="str">
        <x:f>_xlfn.IFNA(VLOOKUP(_xlfn.CONCAT("T",G$1,"V",$D55,"A",$A55),Vulnerabilities!$G:$G,1,FALSE),"")</x:f>
      </x:c>
      <x:c r="H55" s="20" t="str">
        <x:f>_xlfn.IFNA(VLOOKUP(_xlfn.CONCAT("T",H$1,"V",$D55,"A",$A55),Vulnerabilities!$G:$G,1,FALSE),"")</x:f>
      </x:c>
      <x:c r="I55" s="20" t="str">
        <x:f>_xlfn.IFNA(VLOOKUP(_xlfn.CONCAT("T",I$1,"V",$D55,"A",$A55),Vulnerabilities!$G:$G,1,FALSE),"")</x:f>
      </x:c>
      <x:c r="J55" s="20" t="str">
        <x:f>_xlfn.IFNA(VLOOKUP(_xlfn.CONCAT("T",J$1,"V",$D55,"A",$A55),Vulnerabilities!$G:$G,1,FALSE),"")</x:f>
      </x:c>
      <x:c r="K55" s="20" t="str">
        <x:f>_xlfn.IFNA(VLOOKUP(_xlfn.CONCAT("T",K$1,"V",$D55,"A",$A55),Vulnerabilities!$G:$G,1,FALSE),"")</x:f>
      </x:c>
      <x:c r="L55" s="20" t="str">
        <x:f>_xlfn.IFNA(VLOOKUP(_xlfn.CONCAT("T",L$1,"V",$D55,"A",$A55),Vulnerabilities!$G:$G,1,FALSE),"")</x:f>
      </x:c>
      <x:c r="M55" s="20" t="str">
        <x:f>_xlfn.IFNA(VLOOKUP(_xlfn.CONCAT("T",M$1,"V",$D55,"A",$A55),Vulnerabilities!$G:$G,1,FALSE),"")</x:f>
      </x:c>
      <x:c r="N55" s="20" t="str">
        <x:f>_xlfn.IFNA(VLOOKUP(_xlfn.CONCAT("T",N$1,"V",$D55,"A",$A55),Vulnerabilities!$G:$G,1,FALSE),"")</x:f>
      </x:c>
      <x:c r="O55" s="20" t="str">
        <x:f>_xlfn.IFNA(VLOOKUP(_xlfn.CONCAT("T",O$1,"V",$D55,"A",$A55),Vulnerabilities!$G:$G,1,FALSE),"")</x:f>
      </x:c>
      <x:c r="P55" s="16" t="str">
        <x:f>_xlfn.IFNA(VLOOKUP(_xlfn.CONCAT("T",P$1,"V",$D55,"A",$A55),Vulnerabilities!$G:$G,1,FALSE),"")</x:f>
      </x:c>
    </x:row>
    <x:row r="56">
      <x:c r="A56" s="1">
        <x:f t="shared" si="1"/>
        <x:v>14</x:v>
      </x:c>
      <x:c r="B56" t="str">
        <x:f>IF(VLOOKUP($A56,Assets!$A:$C,2,FALSE)=0,"",VLOOKUP($A56,Assets!$A:$C,2,FALSE))</x:f>
      </x:c>
      <x:c r="C56" t="str">
        <x:f>IF(VLOOKUP($A56,Assets!$A:$C,3,FALSE)=0,"",VLOOKUP($A56,Assets!$A:$C,3,FALSE))</x:f>
      </x:c>
      <x:c r="D56" s="16">
        <x:v>2</x:v>
      </x:c>
      <x:c r="E56" s="20" t="str">
        <x:f>_xlfn.IFNA(VLOOKUP(_xlfn.CONCAT("T",E$1,"V",$D56,"A",$A56),Vulnerabilities!$G:$G,1,FALSE),"")</x:f>
      </x:c>
      <x:c r="F56" s="20" t="str">
        <x:f>_xlfn.IFNA(VLOOKUP(_xlfn.CONCAT("T",F$1,"V",$D56,"A",$A56),Vulnerabilities!$G:$G,1,FALSE),"")</x:f>
      </x:c>
      <x:c r="G56" s="20" t="str">
        <x:f>_xlfn.IFNA(VLOOKUP(_xlfn.CONCAT("T",G$1,"V",$D56,"A",$A56),Vulnerabilities!$G:$G,1,FALSE),"")</x:f>
      </x:c>
      <x:c r="H56" s="20" t="str">
        <x:f>_xlfn.IFNA(VLOOKUP(_xlfn.CONCAT("T",H$1,"V",$D56,"A",$A56),Vulnerabilities!$G:$G,1,FALSE),"")</x:f>
      </x:c>
      <x:c r="I56" s="20" t="str">
        <x:f>_xlfn.IFNA(VLOOKUP(_xlfn.CONCAT("T",I$1,"V",$D56,"A",$A56),Vulnerabilities!$G:$G,1,FALSE),"")</x:f>
      </x:c>
      <x:c r="J56" s="20" t="str">
        <x:f>_xlfn.IFNA(VLOOKUP(_xlfn.CONCAT("T",J$1,"V",$D56,"A",$A56),Vulnerabilities!$G:$G,1,FALSE),"")</x:f>
      </x:c>
      <x:c r="K56" s="20" t="str">
        <x:f>_xlfn.IFNA(VLOOKUP(_xlfn.CONCAT("T",K$1,"V",$D56,"A",$A56),Vulnerabilities!$G:$G,1,FALSE),"")</x:f>
      </x:c>
      <x:c r="L56" s="20" t="str">
        <x:f>_xlfn.IFNA(VLOOKUP(_xlfn.CONCAT("T",L$1,"V",$D56,"A",$A56),Vulnerabilities!$G:$G,1,FALSE),"")</x:f>
      </x:c>
      <x:c r="M56" s="20" t="str">
        <x:f>_xlfn.IFNA(VLOOKUP(_xlfn.CONCAT("T",M$1,"V",$D56,"A",$A56),Vulnerabilities!$G:$G,1,FALSE),"")</x:f>
      </x:c>
      <x:c r="N56" s="20" t="str">
        <x:f>_xlfn.IFNA(VLOOKUP(_xlfn.CONCAT("T",N$1,"V",$D56,"A",$A56),Vulnerabilities!$G:$G,1,FALSE),"")</x:f>
      </x:c>
      <x:c r="O56" s="20" t="str">
        <x:f>_xlfn.IFNA(VLOOKUP(_xlfn.CONCAT("T",O$1,"V",$D56,"A",$A56),Vulnerabilities!$G:$G,1,FALSE),"")</x:f>
      </x:c>
      <x:c r="P56" s="16" t="str">
        <x:f>_xlfn.IFNA(VLOOKUP(_xlfn.CONCAT("T",P$1,"V",$D56,"A",$A56),Vulnerabilities!$G:$G,1,FALSE),"")</x:f>
      </x:c>
    </x:row>
    <x:row r="57">
      <x:c r="A57" s="1">
        <x:f t="shared" si="1"/>
        <x:v>14</x:v>
      </x:c>
      <x:c r="B57" t="str">
        <x:f>IF(VLOOKUP($A57,Assets!$A:$C,2,FALSE)=0,"",VLOOKUP($A57,Assets!$A:$C,2,FALSE))</x:f>
      </x:c>
      <x:c r="C57" t="str">
        <x:f>IF(VLOOKUP($A57,Assets!$A:$C,3,FALSE)=0,"",VLOOKUP($A57,Assets!$A:$C,3,FALSE))</x:f>
      </x:c>
      <x:c r="D57" s="16">
        <x:v>3</x:v>
      </x:c>
      <x:c r="E57" s="20" t="str">
        <x:f>_xlfn.IFNA(VLOOKUP(_xlfn.CONCAT("T",E$1,"V",$D57,"A",$A57),Vulnerabilities!$G:$G,1,FALSE),"")</x:f>
      </x:c>
      <x:c r="F57" s="20" t="str">
        <x:f>_xlfn.IFNA(VLOOKUP(_xlfn.CONCAT("T",F$1,"V",$D57,"A",$A57),Vulnerabilities!$G:$G,1,FALSE),"")</x:f>
      </x:c>
      <x:c r="G57" s="20" t="str">
        <x:f>_xlfn.IFNA(VLOOKUP(_xlfn.CONCAT("T",G$1,"V",$D57,"A",$A57),Vulnerabilities!$G:$G,1,FALSE),"")</x:f>
      </x:c>
      <x:c r="H57" s="20" t="str">
        <x:f>_xlfn.IFNA(VLOOKUP(_xlfn.CONCAT("T",H$1,"V",$D57,"A",$A57),Vulnerabilities!$G:$G,1,FALSE),"")</x:f>
      </x:c>
      <x:c r="I57" s="20" t="str">
        <x:f>_xlfn.IFNA(VLOOKUP(_xlfn.CONCAT("T",I$1,"V",$D57,"A",$A57),Vulnerabilities!$G:$G,1,FALSE),"")</x:f>
      </x:c>
      <x:c r="J57" s="20" t="str">
        <x:f>_xlfn.IFNA(VLOOKUP(_xlfn.CONCAT("T",J$1,"V",$D57,"A",$A57),Vulnerabilities!$G:$G,1,FALSE),"")</x:f>
      </x:c>
      <x:c r="K57" s="20" t="str">
        <x:f>_xlfn.IFNA(VLOOKUP(_xlfn.CONCAT("T",K$1,"V",$D57,"A",$A57),Vulnerabilities!$G:$G,1,FALSE),"")</x:f>
      </x:c>
      <x:c r="L57" s="20" t="str">
        <x:f>_xlfn.IFNA(VLOOKUP(_xlfn.CONCAT("T",L$1,"V",$D57,"A",$A57),Vulnerabilities!$G:$G,1,FALSE),"")</x:f>
      </x:c>
      <x:c r="M57" s="20" t="str">
        <x:f>_xlfn.IFNA(VLOOKUP(_xlfn.CONCAT("T",M$1,"V",$D57,"A",$A57),Vulnerabilities!$G:$G,1,FALSE),"")</x:f>
      </x:c>
      <x:c r="N57" s="20" t="str">
        <x:f>_xlfn.IFNA(VLOOKUP(_xlfn.CONCAT("T",N$1,"V",$D57,"A",$A57),Vulnerabilities!$G:$G,1,FALSE),"")</x:f>
      </x:c>
      <x:c r="O57" s="20" t="str">
        <x:f>_xlfn.IFNA(VLOOKUP(_xlfn.CONCAT("T",O$1,"V",$D57,"A",$A57),Vulnerabilities!$G:$G,1,FALSE),"")</x:f>
      </x:c>
      <x:c r="P57" s="16" t="str">
        <x:f>_xlfn.IFNA(VLOOKUP(_xlfn.CONCAT("T",P$1,"V",$D57,"A",$A57),Vulnerabilities!$G:$G,1,FALSE),"")</x:f>
      </x:c>
    </x:row>
    <x:row r="58">
      <x:c r="A58" s="11">
        <x:f t="shared" si="1"/>
        <x:v>14</x:v>
      </x:c>
      <x:c r="B58" s="12" t="str">
        <x:f>IF(VLOOKUP($A58,Assets!$A:$C,2,FALSE)=0,"",VLOOKUP($A58,Assets!$A:$C,2,FALSE))</x:f>
      </x:c>
      <x:c r="C58" s="12" t="str">
        <x:f>IF(VLOOKUP($A58,Assets!$A:$C,3,FALSE)=0,"",VLOOKUP($A58,Assets!$A:$C,3,FALSE))</x:f>
      </x:c>
      <x:c r="D58" s="17">
        <x:v>4</x:v>
      </x:c>
      <x:c r="E58" s="21" t="str">
        <x:f>_xlfn.IFNA(VLOOKUP(_xlfn.CONCAT("T",E$1,"V",$D58,"A",$A58),Vulnerabilities!$G:$G,1,FALSE),"")</x:f>
      </x:c>
      <x:c r="F58" s="21" t="str">
        <x:f>_xlfn.IFNA(VLOOKUP(_xlfn.CONCAT("T",F$1,"V",$D58,"A",$A58),Vulnerabilities!$G:$G,1,FALSE),"")</x:f>
      </x:c>
      <x:c r="G58" s="21" t="str">
        <x:f>_xlfn.IFNA(VLOOKUP(_xlfn.CONCAT("T",G$1,"V",$D58,"A",$A58),Vulnerabilities!$G:$G,1,FALSE),"")</x:f>
      </x:c>
      <x:c r="H58" s="21" t="str">
        <x:f>_xlfn.IFNA(VLOOKUP(_xlfn.CONCAT("T",H$1,"V",$D58,"A",$A58),Vulnerabilities!$G:$G,1,FALSE),"")</x:f>
      </x:c>
      <x:c r="I58" s="21" t="str">
        <x:f>_xlfn.IFNA(VLOOKUP(_xlfn.CONCAT("T",I$1,"V",$D58,"A",$A58),Vulnerabilities!$G:$G,1,FALSE),"")</x:f>
      </x:c>
      <x:c r="J58" s="21" t="str">
        <x:f>_xlfn.IFNA(VLOOKUP(_xlfn.CONCAT("T",J$1,"V",$D58,"A",$A58),Vulnerabilities!$G:$G,1,FALSE),"")</x:f>
      </x:c>
      <x:c r="K58" s="21" t="str">
        <x:f>_xlfn.IFNA(VLOOKUP(_xlfn.CONCAT("T",K$1,"V",$D58,"A",$A58),Vulnerabilities!$G:$G,1,FALSE),"")</x:f>
      </x:c>
      <x:c r="L58" s="21" t="str">
        <x:f>_xlfn.IFNA(VLOOKUP(_xlfn.CONCAT("T",L$1,"V",$D58,"A",$A58),Vulnerabilities!$G:$G,1,FALSE),"")</x:f>
      </x:c>
      <x:c r="M58" s="21" t="str">
        <x:f>_xlfn.IFNA(VLOOKUP(_xlfn.CONCAT("T",M$1,"V",$D58,"A",$A58),Vulnerabilities!$G:$G,1,FALSE),"")</x:f>
      </x:c>
      <x:c r="N58" s="21" t="str">
        <x:f>_xlfn.IFNA(VLOOKUP(_xlfn.CONCAT("T",N$1,"V",$D58,"A",$A58),Vulnerabilities!$G:$G,1,FALSE),"")</x:f>
      </x:c>
      <x:c r="O58" s="21" t="str">
        <x:f>_xlfn.IFNA(VLOOKUP(_xlfn.CONCAT("T",O$1,"V",$D58,"A",$A58),Vulnerabilities!$G:$G,1,FALSE),"")</x:f>
      </x:c>
      <x:c r="P58" s="17" t="str">
        <x:f>_xlfn.IFNA(VLOOKUP(_xlfn.CONCAT("T",P$1,"V",$D58,"A",$A58),Vulnerabilities!$G:$G,1,FALSE),"")</x:f>
      </x:c>
    </x:row>
    <x:row r="59">
      <x:c r="A59" s="1">
        <x:f t="shared" si="1"/>
        <x:v>15</x:v>
      </x:c>
      <x:c r="B59" t="str">
        <x:f>IF(VLOOKUP($A59,Assets!$A:$C,2,FALSE)=0,"",VLOOKUP($A59,Assets!$A:$C,2,FALSE))</x:f>
      </x:c>
      <x:c r="C59" t="str">
        <x:f>IF(VLOOKUP($A59,Assets!$A:$C,3,FALSE)=0,"",VLOOKUP($A59,Assets!$A:$C,3,FALSE))</x:f>
      </x:c>
      <x:c r="D59" s="16">
        <x:v>1</x:v>
      </x:c>
      <x:c r="E59" s="20" t="str">
        <x:f>_xlfn.IFNA(VLOOKUP(_xlfn.CONCAT("T",E$1,"V",$D59,"A",$A59),Vulnerabilities!$G:$G,1,FALSE),"")</x:f>
      </x:c>
      <x:c r="F59" s="20" t="str">
        <x:f>_xlfn.IFNA(VLOOKUP(_xlfn.CONCAT("T",F$1,"V",$D59,"A",$A59),Vulnerabilities!$G:$G,1,FALSE),"")</x:f>
      </x:c>
      <x:c r="G59" s="20" t="str">
        <x:f>_xlfn.IFNA(VLOOKUP(_xlfn.CONCAT("T",G$1,"V",$D59,"A",$A59),Vulnerabilities!$G:$G,1,FALSE),"")</x:f>
      </x:c>
      <x:c r="H59" s="20" t="str">
        <x:f>_xlfn.IFNA(VLOOKUP(_xlfn.CONCAT("T",H$1,"V",$D59,"A",$A59),Vulnerabilities!$G:$G,1,FALSE),"")</x:f>
      </x:c>
      <x:c r="I59" s="20" t="str">
        <x:f>_xlfn.IFNA(VLOOKUP(_xlfn.CONCAT("T",I$1,"V",$D59,"A",$A59),Vulnerabilities!$G:$G,1,FALSE),"")</x:f>
      </x:c>
      <x:c r="J59" s="20" t="str">
        <x:f>_xlfn.IFNA(VLOOKUP(_xlfn.CONCAT("T",J$1,"V",$D59,"A",$A59),Vulnerabilities!$G:$G,1,FALSE),"")</x:f>
      </x:c>
      <x:c r="K59" s="20" t="str">
        <x:f>_xlfn.IFNA(VLOOKUP(_xlfn.CONCAT("T",K$1,"V",$D59,"A",$A59),Vulnerabilities!$G:$G,1,FALSE),"")</x:f>
      </x:c>
      <x:c r="L59" s="20" t="str">
        <x:f>_xlfn.IFNA(VLOOKUP(_xlfn.CONCAT("T",L$1,"V",$D59,"A",$A59),Vulnerabilities!$G:$G,1,FALSE),"")</x:f>
      </x:c>
      <x:c r="M59" s="20" t="str">
        <x:f>_xlfn.IFNA(VLOOKUP(_xlfn.CONCAT("T",M$1,"V",$D59,"A",$A59),Vulnerabilities!$G:$G,1,FALSE),"")</x:f>
      </x:c>
      <x:c r="N59" s="20" t="str">
        <x:f>_xlfn.IFNA(VLOOKUP(_xlfn.CONCAT("T",N$1,"V",$D59,"A",$A59),Vulnerabilities!$G:$G,1,FALSE),"")</x:f>
      </x:c>
      <x:c r="O59" s="20" t="str">
        <x:f>_xlfn.IFNA(VLOOKUP(_xlfn.CONCAT("T",O$1,"V",$D59,"A",$A59),Vulnerabilities!$G:$G,1,FALSE),"")</x:f>
      </x:c>
      <x:c r="P59" s="16" t="str">
        <x:f>_xlfn.IFNA(VLOOKUP(_xlfn.CONCAT("T",P$1,"V",$D59,"A",$A59),Vulnerabilities!$G:$G,1,FALSE),"")</x:f>
      </x:c>
    </x:row>
    <x:row r="60">
      <x:c r="A60" s="1">
        <x:f t="shared" si="1"/>
        <x:v>15</x:v>
      </x:c>
      <x:c r="B60" t="str">
        <x:f>IF(VLOOKUP($A60,Assets!$A:$C,2,FALSE)=0,"",VLOOKUP($A60,Assets!$A:$C,2,FALSE))</x:f>
      </x:c>
      <x:c r="C60" t="str">
        <x:f>IF(VLOOKUP($A60,Assets!$A:$C,3,FALSE)=0,"",VLOOKUP($A60,Assets!$A:$C,3,FALSE))</x:f>
      </x:c>
      <x:c r="D60" s="16">
        <x:v>2</x:v>
      </x:c>
      <x:c r="E60" s="20" t="str">
        <x:f>_xlfn.IFNA(VLOOKUP(_xlfn.CONCAT("T",E$1,"V",$D60,"A",$A60),Vulnerabilities!$G:$G,1,FALSE),"")</x:f>
      </x:c>
      <x:c r="F60" s="20" t="str">
        <x:f>_xlfn.IFNA(VLOOKUP(_xlfn.CONCAT("T",F$1,"V",$D60,"A",$A60),Vulnerabilities!$G:$G,1,FALSE),"")</x:f>
      </x:c>
      <x:c r="G60" s="20" t="str">
        <x:f>_xlfn.IFNA(VLOOKUP(_xlfn.CONCAT("T",G$1,"V",$D60,"A",$A60),Vulnerabilities!$G:$G,1,FALSE),"")</x:f>
      </x:c>
      <x:c r="H60" s="20" t="str">
        <x:f>_xlfn.IFNA(VLOOKUP(_xlfn.CONCAT("T",H$1,"V",$D60,"A",$A60),Vulnerabilities!$G:$G,1,FALSE),"")</x:f>
      </x:c>
      <x:c r="I60" s="20" t="str">
        <x:f>_xlfn.IFNA(VLOOKUP(_xlfn.CONCAT("T",I$1,"V",$D60,"A",$A60),Vulnerabilities!$G:$G,1,FALSE),"")</x:f>
      </x:c>
      <x:c r="J60" s="20" t="str">
        <x:f>_xlfn.IFNA(VLOOKUP(_xlfn.CONCAT("T",J$1,"V",$D60,"A",$A60),Vulnerabilities!$G:$G,1,FALSE),"")</x:f>
      </x:c>
      <x:c r="K60" s="20" t="str">
        <x:f>_xlfn.IFNA(VLOOKUP(_xlfn.CONCAT("T",K$1,"V",$D60,"A",$A60),Vulnerabilities!$G:$G,1,FALSE),"")</x:f>
      </x:c>
      <x:c r="L60" s="20" t="str">
        <x:f>_xlfn.IFNA(VLOOKUP(_xlfn.CONCAT("T",L$1,"V",$D60,"A",$A60),Vulnerabilities!$G:$G,1,FALSE),"")</x:f>
      </x:c>
      <x:c r="M60" s="20" t="str">
        <x:f>_xlfn.IFNA(VLOOKUP(_xlfn.CONCAT("T",M$1,"V",$D60,"A",$A60),Vulnerabilities!$G:$G,1,FALSE),"")</x:f>
      </x:c>
      <x:c r="N60" s="20" t="str">
        <x:f>_xlfn.IFNA(VLOOKUP(_xlfn.CONCAT("T",N$1,"V",$D60,"A",$A60),Vulnerabilities!$G:$G,1,FALSE),"")</x:f>
      </x:c>
      <x:c r="O60" s="20" t="str">
        <x:f>_xlfn.IFNA(VLOOKUP(_xlfn.CONCAT("T",O$1,"V",$D60,"A",$A60),Vulnerabilities!$G:$G,1,FALSE),"")</x:f>
      </x:c>
      <x:c r="P60" s="16" t="str">
        <x:f>_xlfn.IFNA(VLOOKUP(_xlfn.CONCAT("T",P$1,"V",$D60,"A",$A60),Vulnerabilities!$G:$G,1,FALSE),"")</x:f>
      </x:c>
    </x:row>
    <x:row r="61">
      <x:c r="A61" s="1">
        <x:f t="shared" si="1"/>
        <x:v>15</x:v>
      </x:c>
      <x:c r="B61" t="str">
        <x:f>IF(VLOOKUP($A61,Assets!$A:$C,2,FALSE)=0,"",VLOOKUP($A61,Assets!$A:$C,2,FALSE))</x:f>
      </x:c>
      <x:c r="C61" t="str">
        <x:f>IF(VLOOKUP($A61,Assets!$A:$C,3,FALSE)=0,"",VLOOKUP($A61,Assets!$A:$C,3,FALSE))</x:f>
      </x:c>
      <x:c r="D61" s="16">
        <x:v>3</x:v>
      </x:c>
      <x:c r="E61" s="20" t="str">
        <x:f>_xlfn.IFNA(VLOOKUP(_xlfn.CONCAT("T",E$1,"V",$D61,"A",$A61),Vulnerabilities!$G:$G,1,FALSE),"")</x:f>
      </x:c>
      <x:c r="F61" s="20" t="str">
        <x:f>_xlfn.IFNA(VLOOKUP(_xlfn.CONCAT("T",F$1,"V",$D61,"A",$A61),Vulnerabilities!$G:$G,1,FALSE),"")</x:f>
      </x:c>
      <x:c r="G61" s="20" t="str">
        <x:f>_xlfn.IFNA(VLOOKUP(_xlfn.CONCAT("T",G$1,"V",$D61,"A",$A61),Vulnerabilities!$G:$G,1,FALSE),"")</x:f>
      </x:c>
      <x:c r="H61" s="20" t="str">
        <x:f>_xlfn.IFNA(VLOOKUP(_xlfn.CONCAT("T",H$1,"V",$D61,"A",$A61),Vulnerabilities!$G:$G,1,FALSE),"")</x:f>
      </x:c>
      <x:c r="I61" s="20" t="str">
        <x:f>_xlfn.IFNA(VLOOKUP(_xlfn.CONCAT("T",I$1,"V",$D61,"A",$A61),Vulnerabilities!$G:$G,1,FALSE),"")</x:f>
      </x:c>
      <x:c r="J61" s="20" t="str">
        <x:f>_xlfn.IFNA(VLOOKUP(_xlfn.CONCAT("T",J$1,"V",$D61,"A",$A61),Vulnerabilities!$G:$G,1,FALSE),"")</x:f>
      </x:c>
      <x:c r="K61" s="20" t="str">
        <x:f>_xlfn.IFNA(VLOOKUP(_xlfn.CONCAT("T",K$1,"V",$D61,"A",$A61),Vulnerabilities!$G:$G,1,FALSE),"")</x:f>
      </x:c>
      <x:c r="L61" s="20" t="str">
        <x:f>_xlfn.IFNA(VLOOKUP(_xlfn.CONCAT("T",L$1,"V",$D61,"A",$A61),Vulnerabilities!$G:$G,1,FALSE),"")</x:f>
      </x:c>
      <x:c r="M61" s="20" t="str">
        <x:f>_xlfn.IFNA(VLOOKUP(_xlfn.CONCAT("T",M$1,"V",$D61,"A",$A61),Vulnerabilities!$G:$G,1,FALSE),"")</x:f>
      </x:c>
      <x:c r="N61" s="20" t="str">
        <x:f>_xlfn.IFNA(VLOOKUP(_xlfn.CONCAT("T",N$1,"V",$D61,"A",$A61),Vulnerabilities!$G:$G,1,FALSE),"")</x:f>
      </x:c>
      <x:c r="O61" s="20" t="str">
        <x:f>_xlfn.IFNA(VLOOKUP(_xlfn.CONCAT("T",O$1,"V",$D61,"A",$A61),Vulnerabilities!$G:$G,1,FALSE),"")</x:f>
      </x:c>
      <x:c r="P61" s="16" t="str">
        <x:f>_xlfn.IFNA(VLOOKUP(_xlfn.CONCAT("T",P$1,"V",$D61,"A",$A61),Vulnerabilities!$G:$G,1,FALSE),"")</x:f>
      </x:c>
    </x:row>
    <x:row r="62">
      <x:c r="A62" s="11">
        <x:f t="shared" si="1"/>
        <x:v>15</x:v>
      </x:c>
      <x:c r="B62" s="12" t="str">
        <x:f>IF(VLOOKUP($A62,Assets!$A:$C,2,FALSE)=0,"",VLOOKUP($A62,Assets!$A:$C,2,FALSE))</x:f>
      </x:c>
      <x:c r="C62" s="12" t="str">
        <x:f>IF(VLOOKUP($A62,Assets!$A:$C,3,FALSE)=0,"",VLOOKUP($A62,Assets!$A:$C,3,FALSE))</x:f>
      </x:c>
      <x:c r="D62" s="17">
        <x:v>4</x:v>
      </x:c>
      <x:c r="E62" s="21" t="str">
        <x:f>_xlfn.IFNA(VLOOKUP(_xlfn.CONCAT("T",E$1,"V",$D62,"A",$A62),Vulnerabilities!$G:$G,1,FALSE),"")</x:f>
      </x:c>
      <x:c r="F62" s="21" t="str">
        <x:f>_xlfn.IFNA(VLOOKUP(_xlfn.CONCAT("T",F$1,"V",$D62,"A",$A62),Vulnerabilities!$G:$G,1,FALSE),"")</x:f>
      </x:c>
      <x:c r="G62" s="21" t="str">
        <x:f>_xlfn.IFNA(VLOOKUP(_xlfn.CONCAT("T",G$1,"V",$D62,"A",$A62),Vulnerabilities!$G:$G,1,FALSE),"")</x:f>
      </x:c>
      <x:c r="H62" s="21" t="str">
        <x:f>_xlfn.IFNA(VLOOKUP(_xlfn.CONCAT("T",H$1,"V",$D62,"A",$A62),Vulnerabilities!$G:$G,1,FALSE),"")</x:f>
      </x:c>
      <x:c r="I62" s="21" t="str">
        <x:f>_xlfn.IFNA(VLOOKUP(_xlfn.CONCAT("T",I$1,"V",$D62,"A",$A62),Vulnerabilities!$G:$G,1,FALSE),"")</x:f>
      </x:c>
      <x:c r="J62" s="21" t="str">
        <x:f>_xlfn.IFNA(VLOOKUP(_xlfn.CONCAT("T",J$1,"V",$D62,"A",$A62),Vulnerabilities!$G:$G,1,FALSE),"")</x:f>
      </x:c>
      <x:c r="K62" s="21" t="str">
        <x:f>_xlfn.IFNA(VLOOKUP(_xlfn.CONCAT("T",K$1,"V",$D62,"A",$A62),Vulnerabilities!$G:$G,1,FALSE),"")</x:f>
      </x:c>
      <x:c r="L62" s="21" t="str">
        <x:f>_xlfn.IFNA(VLOOKUP(_xlfn.CONCAT("T",L$1,"V",$D62,"A",$A62),Vulnerabilities!$G:$G,1,FALSE),"")</x:f>
      </x:c>
      <x:c r="M62" s="21" t="str">
        <x:f>_xlfn.IFNA(VLOOKUP(_xlfn.CONCAT("T",M$1,"V",$D62,"A",$A62),Vulnerabilities!$G:$G,1,FALSE),"")</x:f>
      </x:c>
      <x:c r="N62" s="21" t="str">
        <x:f>_xlfn.IFNA(VLOOKUP(_xlfn.CONCAT("T",N$1,"V",$D62,"A",$A62),Vulnerabilities!$G:$G,1,FALSE),"")</x:f>
      </x:c>
      <x:c r="O62" s="21" t="str">
        <x:f>_xlfn.IFNA(VLOOKUP(_xlfn.CONCAT("T",O$1,"V",$D62,"A",$A62),Vulnerabilities!$G:$G,1,FALSE),"")</x:f>
      </x:c>
      <x:c r="P62" s="17" t="str">
        <x:f>_xlfn.IFNA(VLOOKUP(_xlfn.CONCAT("T",P$1,"V",$D62,"A",$A62),Vulnerabilities!$G:$G,1,FALSE),"")</x:f>
      </x:c>
    </x:row>
    <x:row r="63">
      <x:c r="A63" s="1">
        <x:f t="shared" si="1"/>
        <x:v>16</x:v>
      </x:c>
      <x:c r="B63" t="str">
        <x:f>IF(VLOOKUP($A63,Assets!$A:$C,2,FALSE)=0,"",VLOOKUP($A63,Assets!$A:$C,2,FALSE))</x:f>
      </x:c>
      <x:c r="C63" t="str">
        <x:f>IF(VLOOKUP($A63,Assets!$A:$C,3,FALSE)=0,"",VLOOKUP($A63,Assets!$A:$C,3,FALSE))</x:f>
      </x:c>
      <x:c r="D63" s="16">
        <x:v>1</x:v>
      </x:c>
      <x:c r="E63" s="20" t="str">
        <x:f>_xlfn.IFNA(VLOOKUP(_xlfn.CONCAT("T",E$1,"V",$D63,"A",$A63),Vulnerabilities!$G:$G,1,FALSE),"")</x:f>
      </x:c>
      <x:c r="F63" s="20" t="str">
        <x:f>_xlfn.IFNA(VLOOKUP(_xlfn.CONCAT("T",F$1,"V",$D63,"A",$A63),Vulnerabilities!$G:$G,1,FALSE),"")</x:f>
      </x:c>
      <x:c r="G63" s="20" t="str">
        <x:f>_xlfn.IFNA(VLOOKUP(_xlfn.CONCAT("T",G$1,"V",$D63,"A",$A63),Vulnerabilities!$G:$G,1,FALSE),"")</x:f>
      </x:c>
      <x:c r="H63" s="20" t="str">
        <x:f>_xlfn.IFNA(VLOOKUP(_xlfn.CONCAT("T",H$1,"V",$D63,"A",$A63),Vulnerabilities!$G:$G,1,FALSE),"")</x:f>
      </x:c>
      <x:c r="I63" s="20" t="str">
        <x:f>_xlfn.IFNA(VLOOKUP(_xlfn.CONCAT("T",I$1,"V",$D63,"A",$A63),Vulnerabilities!$G:$G,1,FALSE),"")</x:f>
      </x:c>
      <x:c r="J63" s="20" t="str">
        <x:f>_xlfn.IFNA(VLOOKUP(_xlfn.CONCAT("T",J$1,"V",$D63,"A",$A63),Vulnerabilities!$G:$G,1,FALSE),"")</x:f>
      </x:c>
      <x:c r="K63" s="20" t="str">
        <x:f>_xlfn.IFNA(VLOOKUP(_xlfn.CONCAT("T",K$1,"V",$D63,"A",$A63),Vulnerabilities!$G:$G,1,FALSE),"")</x:f>
      </x:c>
      <x:c r="L63" s="20" t="str">
        <x:f>_xlfn.IFNA(VLOOKUP(_xlfn.CONCAT("T",L$1,"V",$D63,"A",$A63),Vulnerabilities!$G:$G,1,FALSE),"")</x:f>
      </x:c>
      <x:c r="M63" s="20" t="str">
        <x:f>_xlfn.IFNA(VLOOKUP(_xlfn.CONCAT("T",M$1,"V",$D63,"A",$A63),Vulnerabilities!$G:$G,1,FALSE),"")</x:f>
      </x:c>
      <x:c r="N63" s="20" t="str">
        <x:f>_xlfn.IFNA(VLOOKUP(_xlfn.CONCAT("T",N$1,"V",$D63,"A",$A63),Vulnerabilities!$G:$G,1,FALSE),"")</x:f>
      </x:c>
      <x:c r="O63" s="20" t="str">
        <x:f>_xlfn.IFNA(VLOOKUP(_xlfn.CONCAT("T",O$1,"V",$D63,"A",$A63),Vulnerabilities!$G:$G,1,FALSE),"")</x:f>
      </x:c>
      <x:c r="P63" s="16" t="str">
        <x:f>_xlfn.IFNA(VLOOKUP(_xlfn.CONCAT("T",P$1,"V",$D63,"A",$A63),Vulnerabilities!$G:$G,1,FALSE),"")</x:f>
      </x:c>
    </x:row>
    <x:row r="64">
      <x:c r="A64" s="1">
        <x:f t="shared" si="1"/>
        <x:v>16</x:v>
      </x:c>
      <x:c r="B64" t="str">
        <x:f>IF(VLOOKUP($A64,Assets!$A:$C,2,FALSE)=0,"",VLOOKUP($A64,Assets!$A:$C,2,FALSE))</x:f>
      </x:c>
      <x:c r="C64" t="str">
        <x:f>IF(VLOOKUP($A64,Assets!$A:$C,3,FALSE)=0,"",VLOOKUP($A64,Assets!$A:$C,3,FALSE))</x:f>
      </x:c>
      <x:c r="D64" s="16">
        <x:v>2</x:v>
      </x:c>
      <x:c r="E64" s="20" t="str">
        <x:f>_xlfn.IFNA(VLOOKUP(_xlfn.CONCAT("T",E$1,"V",$D64,"A",$A64),Vulnerabilities!$G:$G,1,FALSE),"")</x:f>
      </x:c>
      <x:c r="F64" s="20" t="str">
        <x:f>_xlfn.IFNA(VLOOKUP(_xlfn.CONCAT("T",F$1,"V",$D64,"A",$A64),Vulnerabilities!$G:$G,1,FALSE),"")</x:f>
      </x:c>
      <x:c r="G64" s="20" t="str">
        <x:f>_xlfn.IFNA(VLOOKUP(_xlfn.CONCAT("T",G$1,"V",$D64,"A",$A64),Vulnerabilities!$G:$G,1,FALSE),"")</x:f>
      </x:c>
      <x:c r="H64" s="20" t="str">
        <x:f>_xlfn.IFNA(VLOOKUP(_xlfn.CONCAT("T",H$1,"V",$D64,"A",$A64),Vulnerabilities!$G:$G,1,FALSE),"")</x:f>
      </x:c>
      <x:c r="I64" s="20" t="str">
        <x:f>_xlfn.IFNA(VLOOKUP(_xlfn.CONCAT("T",I$1,"V",$D64,"A",$A64),Vulnerabilities!$G:$G,1,FALSE),"")</x:f>
      </x:c>
      <x:c r="J64" s="20" t="str">
        <x:f>_xlfn.IFNA(VLOOKUP(_xlfn.CONCAT("T",J$1,"V",$D64,"A",$A64),Vulnerabilities!$G:$G,1,FALSE),"")</x:f>
      </x:c>
      <x:c r="K64" s="20" t="str">
        <x:f>_xlfn.IFNA(VLOOKUP(_xlfn.CONCAT("T",K$1,"V",$D64,"A",$A64),Vulnerabilities!$G:$G,1,FALSE),"")</x:f>
      </x:c>
      <x:c r="L64" s="20" t="str">
        <x:f>_xlfn.IFNA(VLOOKUP(_xlfn.CONCAT("T",L$1,"V",$D64,"A",$A64),Vulnerabilities!$G:$G,1,FALSE),"")</x:f>
      </x:c>
      <x:c r="M64" s="20" t="str">
        <x:f>_xlfn.IFNA(VLOOKUP(_xlfn.CONCAT("T",M$1,"V",$D64,"A",$A64),Vulnerabilities!$G:$G,1,FALSE),"")</x:f>
      </x:c>
      <x:c r="N64" s="20" t="str">
        <x:f>_xlfn.IFNA(VLOOKUP(_xlfn.CONCAT("T",N$1,"V",$D64,"A",$A64),Vulnerabilities!$G:$G,1,FALSE),"")</x:f>
      </x:c>
      <x:c r="O64" s="20" t="str">
        <x:f>_xlfn.IFNA(VLOOKUP(_xlfn.CONCAT("T",O$1,"V",$D64,"A",$A64),Vulnerabilities!$G:$G,1,FALSE),"")</x:f>
      </x:c>
      <x:c r="P64" s="16" t="str">
        <x:f>_xlfn.IFNA(VLOOKUP(_xlfn.CONCAT("T",P$1,"V",$D64,"A",$A64),Vulnerabilities!$G:$G,1,FALSE),"")</x:f>
      </x:c>
    </x:row>
    <x:row r="65">
      <x:c r="A65" s="1">
        <x:f t="shared" si="1"/>
        <x:v>16</x:v>
      </x:c>
      <x:c r="B65" t="str">
        <x:f>IF(VLOOKUP($A65,Assets!$A:$C,2,FALSE)=0,"",VLOOKUP($A65,Assets!$A:$C,2,FALSE))</x:f>
      </x:c>
      <x:c r="C65" t="str">
        <x:f>IF(VLOOKUP($A65,Assets!$A:$C,3,FALSE)=0,"",VLOOKUP($A65,Assets!$A:$C,3,FALSE))</x:f>
      </x:c>
      <x:c r="D65" s="16">
        <x:v>3</x:v>
      </x:c>
      <x:c r="E65" s="20" t="str">
        <x:f>_xlfn.IFNA(VLOOKUP(_xlfn.CONCAT("T",E$1,"V",$D65,"A",$A65),Vulnerabilities!$G:$G,1,FALSE),"")</x:f>
      </x:c>
      <x:c r="F65" s="20" t="str">
        <x:f>_xlfn.IFNA(VLOOKUP(_xlfn.CONCAT("T",F$1,"V",$D65,"A",$A65),Vulnerabilities!$G:$G,1,FALSE),"")</x:f>
      </x:c>
      <x:c r="G65" s="20" t="str">
        <x:f>_xlfn.IFNA(VLOOKUP(_xlfn.CONCAT("T",G$1,"V",$D65,"A",$A65),Vulnerabilities!$G:$G,1,FALSE),"")</x:f>
      </x:c>
      <x:c r="H65" s="20" t="str">
        <x:f>_xlfn.IFNA(VLOOKUP(_xlfn.CONCAT("T",H$1,"V",$D65,"A",$A65),Vulnerabilities!$G:$G,1,FALSE),"")</x:f>
      </x:c>
      <x:c r="I65" s="20" t="str">
        <x:f>_xlfn.IFNA(VLOOKUP(_xlfn.CONCAT("T",I$1,"V",$D65,"A",$A65),Vulnerabilities!$G:$G,1,FALSE),"")</x:f>
      </x:c>
      <x:c r="J65" s="20" t="str">
        <x:f>_xlfn.IFNA(VLOOKUP(_xlfn.CONCAT("T",J$1,"V",$D65,"A",$A65),Vulnerabilities!$G:$G,1,FALSE),"")</x:f>
      </x:c>
      <x:c r="K65" s="20" t="str">
        <x:f>_xlfn.IFNA(VLOOKUP(_xlfn.CONCAT("T",K$1,"V",$D65,"A",$A65),Vulnerabilities!$G:$G,1,FALSE),"")</x:f>
      </x:c>
      <x:c r="L65" s="20" t="str">
        <x:f>_xlfn.IFNA(VLOOKUP(_xlfn.CONCAT("T",L$1,"V",$D65,"A",$A65),Vulnerabilities!$G:$G,1,FALSE),"")</x:f>
      </x:c>
      <x:c r="M65" s="20" t="str">
        <x:f>_xlfn.IFNA(VLOOKUP(_xlfn.CONCAT("T",M$1,"V",$D65,"A",$A65),Vulnerabilities!$G:$G,1,FALSE),"")</x:f>
      </x:c>
      <x:c r="N65" s="20" t="str">
        <x:f>_xlfn.IFNA(VLOOKUP(_xlfn.CONCAT("T",N$1,"V",$D65,"A",$A65),Vulnerabilities!$G:$G,1,FALSE),"")</x:f>
      </x:c>
      <x:c r="O65" s="20" t="str">
        <x:f>_xlfn.IFNA(VLOOKUP(_xlfn.CONCAT("T",O$1,"V",$D65,"A",$A65),Vulnerabilities!$G:$G,1,FALSE),"")</x:f>
      </x:c>
      <x:c r="P65" s="16" t="str">
        <x:f>_xlfn.IFNA(VLOOKUP(_xlfn.CONCAT("T",P$1,"V",$D65,"A",$A65),Vulnerabilities!$G:$G,1,FALSE),"")</x:f>
      </x:c>
    </x:row>
    <x:row r="66">
      <x:c r="A66" s="11">
        <x:f t="shared" si="1"/>
        <x:v>16</x:v>
      </x:c>
      <x:c r="B66" s="12" t="str">
        <x:f>IF(VLOOKUP($A66,Assets!$A:$C,2,FALSE)=0,"",VLOOKUP($A66,Assets!$A:$C,2,FALSE))</x:f>
      </x:c>
      <x:c r="C66" s="12" t="str">
        <x:f>IF(VLOOKUP($A66,Assets!$A:$C,3,FALSE)=0,"",VLOOKUP($A66,Assets!$A:$C,3,FALSE))</x:f>
      </x:c>
      <x:c r="D66" s="17">
        <x:v>4</x:v>
      </x:c>
      <x:c r="E66" s="21" t="str">
        <x:f>_xlfn.IFNA(VLOOKUP(_xlfn.CONCAT("T",E$1,"V",$D66,"A",$A66),Vulnerabilities!$G:$G,1,FALSE),"")</x:f>
      </x:c>
      <x:c r="F66" s="21" t="str">
        <x:f>_xlfn.IFNA(VLOOKUP(_xlfn.CONCAT("T",F$1,"V",$D66,"A",$A66),Vulnerabilities!$G:$G,1,FALSE),"")</x:f>
      </x:c>
      <x:c r="G66" s="21" t="str">
        <x:f>_xlfn.IFNA(VLOOKUP(_xlfn.CONCAT("T",G$1,"V",$D66,"A",$A66),Vulnerabilities!$G:$G,1,FALSE),"")</x:f>
      </x:c>
      <x:c r="H66" s="21" t="str">
        <x:f>_xlfn.IFNA(VLOOKUP(_xlfn.CONCAT("T",H$1,"V",$D66,"A",$A66),Vulnerabilities!$G:$G,1,FALSE),"")</x:f>
      </x:c>
      <x:c r="I66" s="21" t="str">
        <x:f>_xlfn.IFNA(VLOOKUP(_xlfn.CONCAT("T",I$1,"V",$D66,"A",$A66),Vulnerabilities!$G:$G,1,FALSE),"")</x:f>
      </x:c>
      <x:c r="J66" s="21" t="str">
        <x:f>_xlfn.IFNA(VLOOKUP(_xlfn.CONCAT("T",J$1,"V",$D66,"A",$A66),Vulnerabilities!$G:$G,1,FALSE),"")</x:f>
      </x:c>
      <x:c r="K66" s="21" t="str">
        <x:f>_xlfn.IFNA(VLOOKUP(_xlfn.CONCAT("T",K$1,"V",$D66,"A",$A66),Vulnerabilities!$G:$G,1,FALSE),"")</x:f>
      </x:c>
      <x:c r="L66" s="21" t="str">
        <x:f>_xlfn.IFNA(VLOOKUP(_xlfn.CONCAT("T",L$1,"V",$D66,"A",$A66),Vulnerabilities!$G:$G,1,FALSE),"")</x:f>
      </x:c>
      <x:c r="M66" s="21" t="str">
        <x:f>_xlfn.IFNA(VLOOKUP(_xlfn.CONCAT("T",M$1,"V",$D66,"A",$A66),Vulnerabilities!$G:$G,1,FALSE),"")</x:f>
      </x:c>
      <x:c r="N66" s="21" t="str">
        <x:f>_xlfn.IFNA(VLOOKUP(_xlfn.CONCAT("T",N$1,"V",$D66,"A",$A66),Vulnerabilities!$G:$G,1,FALSE),"")</x:f>
      </x:c>
      <x:c r="O66" s="21" t="str">
        <x:f>_xlfn.IFNA(VLOOKUP(_xlfn.CONCAT("T",O$1,"V",$D66,"A",$A66),Vulnerabilities!$G:$G,1,FALSE),"")</x:f>
      </x:c>
      <x:c r="P66" s="17" t="str">
        <x:f>_xlfn.IFNA(VLOOKUP(_xlfn.CONCAT("T",P$1,"V",$D66,"A",$A66),Vulnerabilities!$G:$G,1,FALSE),"")</x:f>
      </x:c>
    </x:row>
    <x:row r="67">
      <x:c r="A67" s="1">
        <x:f t="shared" si="1"/>
        <x:v>17</x:v>
      </x:c>
      <x:c r="B67" t="str">
        <x:f>IF(VLOOKUP($A67,Assets!$A:$C,2,FALSE)=0,"",VLOOKUP($A67,Assets!$A:$C,2,FALSE))</x:f>
      </x:c>
      <x:c r="C67" t="str">
        <x:f>IF(VLOOKUP($A67,Assets!$A:$C,3,FALSE)=0,"",VLOOKUP($A67,Assets!$A:$C,3,FALSE))</x:f>
      </x:c>
      <x:c r="D67" s="16">
        <x:v>1</x:v>
      </x:c>
      <x:c r="E67" s="20" t="str">
        <x:f>_xlfn.IFNA(VLOOKUP(_xlfn.CONCAT("T",E$1,"V",$D67,"A",$A67),Vulnerabilities!$G:$G,1,FALSE),"")</x:f>
      </x:c>
      <x:c r="F67" s="20" t="str">
        <x:f>_xlfn.IFNA(VLOOKUP(_xlfn.CONCAT("T",F$1,"V",$D67,"A",$A67),Vulnerabilities!$G:$G,1,FALSE),"")</x:f>
      </x:c>
      <x:c r="G67" s="20" t="str">
        <x:f>_xlfn.IFNA(VLOOKUP(_xlfn.CONCAT("T",G$1,"V",$D67,"A",$A67),Vulnerabilities!$G:$G,1,FALSE),"")</x:f>
      </x:c>
      <x:c r="H67" s="20" t="str">
        <x:f>_xlfn.IFNA(VLOOKUP(_xlfn.CONCAT("T",H$1,"V",$D67,"A",$A67),Vulnerabilities!$G:$G,1,FALSE),"")</x:f>
      </x:c>
      <x:c r="I67" s="20" t="str">
        <x:f>_xlfn.IFNA(VLOOKUP(_xlfn.CONCAT("T",I$1,"V",$D67,"A",$A67),Vulnerabilities!$G:$G,1,FALSE),"")</x:f>
      </x:c>
      <x:c r="J67" s="20" t="str">
        <x:f>_xlfn.IFNA(VLOOKUP(_xlfn.CONCAT("T",J$1,"V",$D67,"A",$A67),Vulnerabilities!$G:$G,1,FALSE),"")</x:f>
      </x:c>
      <x:c r="K67" s="20" t="str">
        <x:f>_xlfn.IFNA(VLOOKUP(_xlfn.CONCAT("T",K$1,"V",$D67,"A",$A67),Vulnerabilities!$G:$G,1,FALSE),"")</x:f>
      </x:c>
      <x:c r="L67" s="20" t="str">
        <x:f>_xlfn.IFNA(VLOOKUP(_xlfn.CONCAT("T",L$1,"V",$D67,"A",$A67),Vulnerabilities!$G:$G,1,FALSE),"")</x:f>
      </x:c>
      <x:c r="M67" s="20" t="str">
        <x:f>_xlfn.IFNA(VLOOKUP(_xlfn.CONCAT("T",M$1,"V",$D67,"A",$A67),Vulnerabilities!$G:$G,1,FALSE),"")</x:f>
      </x:c>
      <x:c r="N67" s="20" t="str">
        <x:f>_xlfn.IFNA(VLOOKUP(_xlfn.CONCAT("T",N$1,"V",$D67,"A",$A67),Vulnerabilities!$G:$G,1,FALSE),"")</x:f>
      </x:c>
      <x:c r="O67" s="20" t="str">
        <x:f>_xlfn.IFNA(VLOOKUP(_xlfn.CONCAT("T",O$1,"V",$D67,"A",$A67),Vulnerabilities!$G:$G,1,FALSE),"")</x:f>
      </x:c>
      <x:c r="P67" s="16" t="str">
        <x:f>_xlfn.IFNA(VLOOKUP(_xlfn.CONCAT("T",P$1,"V",$D67,"A",$A67),Vulnerabilities!$G:$G,1,FALSE),"")</x:f>
      </x:c>
    </x:row>
    <x:row r="68">
      <x:c r="A68" s="1">
        <x:f t="shared" si="1"/>
        <x:v>17</x:v>
      </x:c>
      <x:c r="B68" t="str">
        <x:f>IF(VLOOKUP($A68,Assets!$A:$C,2,FALSE)=0,"",VLOOKUP($A68,Assets!$A:$C,2,FALSE))</x:f>
      </x:c>
      <x:c r="C68" t="str">
        <x:f>IF(VLOOKUP($A68,Assets!$A:$C,3,FALSE)=0,"",VLOOKUP($A68,Assets!$A:$C,3,FALSE))</x:f>
      </x:c>
      <x:c r="D68" s="16">
        <x:v>2</x:v>
      </x:c>
      <x:c r="E68" s="20" t="str">
        <x:f>_xlfn.IFNA(VLOOKUP(_xlfn.CONCAT("T",E$1,"V",$D68,"A",$A68),Vulnerabilities!$G:$G,1,FALSE),"")</x:f>
      </x:c>
      <x:c r="F68" s="20" t="str">
        <x:f>_xlfn.IFNA(VLOOKUP(_xlfn.CONCAT("T",F$1,"V",$D68,"A",$A68),Vulnerabilities!$G:$G,1,FALSE),"")</x:f>
      </x:c>
      <x:c r="G68" s="20" t="str">
        <x:f>_xlfn.IFNA(VLOOKUP(_xlfn.CONCAT("T",G$1,"V",$D68,"A",$A68),Vulnerabilities!$G:$G,1,FALSE),"")</x:f>
      </x:c>
      <x:c r="H68" s="20" t="str">
        <x:f>_xlfn.IFNA(VLOOKUP(_xlfn.CONCAT("T",H$1,"V",$D68,"A",$A68),Vulnerabilities!$G:$G,1,FALSE),"")</x:f>
      </x:c>
      <x:c r="I68" s="20" t="str">
        <x:f>_xlfn.IFNA(VLOOKUP(_xlfn.CONCAT("T",I$1,"V",$D68,"A",$A68),Vulnerabilities!$G:$G,1,FALSE),"")</x:f>
      </x:c>
      <x:c r="J68" s="20" t="str">
        <x:f>_xlfn.IFNA(VLOOKUP(_xlfn.CONCAT("T",J$1,"V",$D68,"A",$A68),Vulnerabilities!$G:$G,1,FALSE),"")</x:f>
      </x:c>
      <x:c r="K68" s="20" t="str">
        <x:f>_xlfn.IFNA(VLOOKUP(_xlfn.CONCAT("T",K$1,"V",$D68,"A",$A68),Vulnerabilities!$G:$G,1,FALSE),"")</x:f>
      </x:c>
      <x:c r="L68" s="20" t="str">
        <x:f>_xlfn.IFNA(VLOOKUP(_xlfn.CONCAT("T",L$1,"V",$D68,"A",$A68),Vulnerabilities!$G:$G,1,FALSE),"")</x:f>
      </x:c>
      <x:c r="M68" s="20" t="str">
        <x:f>_xlfn.IFNA(VLOOKUP(_xlfn.CONCAT("T",M$1,"V",$D68,"A",$A68),Vulnerabilities!$G:$G,1,FALSE),"")</x:f>
      </x:c>
      <x:c r="N68" s="20" t="str">
        <x:f>_xlfn.IFNA(VLOOKUP(_xlfn.CONCAT("T",N$1,"V",$D68,"A",$A68),Vulnerabilities!$G:$G,1,FALSE),"")</x:f>
      </x:c>
      <x:c r="O68" s="20" t="str">
        <x:f>_xlfn.IFNA(VLOOKUP(_xlfn.CONCAT("T",O$1,"V",$D68,"A",$A68),Vulnerabilities!$G:$G,1,FALSE),"")</x:f>
      </x:c>
      <x:c r="P68" s="16" t="str">
        <x:f>_xlfn.IFNA(VLOOKUP(_xlfn.CONCAT("T",P$1,"V",$D68,"A",$A68),Vulnerabilities!$G:$G,1,FALSE),"")</x:f>
      </x:c>
    </x:row>
    <x:row r="69">
      <x:c r="A69" s="1">
        <x:f t="shared" si="1"/>
        <x:v>17</x:v>
      </x:c>
      <x:c r="B69" t="str">
        <x:f>IF(VLOOKUP($A69,Assets!$A:$C,2,FALSE)=0,"",VLOOKUP($A69,Assets!$A:$C,2,FALSE))</x:f>
      </x:c>
      <x:c r="C69" t="str">
        <x:f>IF(VLOOKUP($A69,Assets!$A:$C,3,FALSE)=0,"",VLOOKUP($A69,Assets!$A:$C,3,FALSE))</x:f>
      </x:c>
      <x:c r="D69" s="16">
        <x:v>3</x:v>
      </x:c>
      <x:c r="E69" s="20" t="str">
        <x:f>_xlfn.IFNA(VLOOKUP(_xlfn.CONCAT("T",E$1,"V",$D69,"A",$A69),Vulnerabilities!$G:$G,1,FALSE),"")</x:f>
      </x:c>
      <x:c r="F69" s="20" t="str">
        <x:f>_xlfn.IFNA(VLOOKUP(_xlfn.CONCAT("T",F$1,"V",$D69,"A",$A69),Vulnerabilities!$G:$G,1,FALSE),"")</x:f>
      </x:c>
      <x:c r="G69" s="20" t="str">
        <x:f>_xlfn.IFNA(VLOOKUP(_xlfn.CONCAT("T",G$1,"V",$D69,"A",$A69),Vulnerabilities!$G:$G,1,FALSE),"")</x:f>
      </x:c>
      <x:c r="H69" s="20" t="str">
        <x:f>_xlfn.IFNA(VLOOKUP(_xlfn.CONCAT("T",H$1,"V",$D69,"A",$A69),Vulnerabilities!$G:$G,1,FALSE),"")</x:f>
      </x:c>
      <x:c r="I69" s="20" t="str">
        <x:f>_xlfn.IFNA(VLOOKUP(_xlfn.CONCAT("T",I$1,"V",$D69,"A",$A69),Vulnerabilities!$G:$G,1,FALSE),"")</x:f>
      </x:c>
      <x:c r="J69" s="20" t="str">
        <x:f>_xlfn.IFNA(VLOOKUP(_xlfn.CONCAT("T",J$1,"V",$D69,"A",$A69),Vulnerabilities!$G:$G,1,FALSE),"")</x:f>
      </x:c>
      <x:c r="K69" s="20" t="str">
        <x:f>_xlfn.IFNA(VLOOKUP(_xlfn.CONCAT("T",K$1,"V",$D69,"A",$A69),Vulnerabilities!$G:$G,1,FALSE),"")</x:f>
      </x:c>
      <x:c r="L69" s="20" t="str">
        <x:f>_xlfn.IFNA(VLOOKUP(_xlfn.CONCAT("T",L$1,"V",$D69,"A",$A69),Vulnerabilities!$G:$G,1,FALSE),"")</x:f>
      </x:c>
      <x:c r="M69" s="20" t="str">
        <x:f>_xlfn.IFNA(VLOOKUP(_xlfn.CONCAT("T",M$1,"V",$D69,"A",$A69),Vulnerabilities!$G:$G,1,FALSE),"")</x:f>
      </x:c>
      <x:c r="N69" s="20" t="str">
        <x:f>_xlfn.IFNA(VLOOKUP(_xlfn.CONCAT("T",N$1,"V",$D69,"A",$A69),Vulnerabilities!$G:$G,1,FALSE),"")</x:f>
      </x:c>
      <x:c r="O69" s="20" t="str">
        <x:f>_xlfn.IFNA(VLOOKUP(_xlfn.CONCAT("T",O$1,"V",$D69,"A",$A69),Vulnerabilities!$G:$G,1,FALSE),"")</x:f>
      </x:c>
      <x:c r="P69" s="16" t="str">
        <x:f>_xlfn.IFNA(VLOOKUP(_xlfn.CONCAT("T",P$1,"V",$D69,"A",$A69),Vulnerabilities!$G:$G,1,FALSE),"")</x:f>
      </x:c>
    </x:row>
    <x:row r="70">
      <x:c r="A70" s="11">
        <x:f t="shared" si="1"/>
        <x:v>17</x:v>
      </x:c>
      <x:c r="B70" s="12" t="str">
        <x:f>IF(VLOOKUP($A70,Assets!$A:$C,2,FALSE)=0,"",VLOOKUP($A70,Assets!$A:$C,2,FALSE))</x:f>
      </x:c>
      <x:c r="C70" s="12" t="str">
        <x:f>IF(VLOOKUP($A70,Assets!$A:$C,3,FALSE)=0,"",VLOOKUP($A70,Assets!$A:$C,3,FALSE))</x:f>
      </x:c>
      <x:c r="D70" s="17">
        <x:v>4</x:v>
      </x:c>
      <x:c r="E70" s="21" t="str">
        <x:f>_xlfn.IFNA(VLOOKUP(_xlfn.CONCAT("T",E$1,"V",$D70,"A",$A70),Vulnerabilities!$G:$G,1,FALSE),"")</x:f>
      </x:c>
      <x:c r="F70" s="21" t="str">
        <x:f>_xlfn.IFNA(VLOOKUP(_xlfn.CONCAT("T",F$1,"V",$D70,"A",$A70),Vulnerabilities!$G:$G,1,FALSE),"")</x:f>
      </x:c>
      <x:c r="G70" s="21" t="str">
        <x:f>_xlfn.IFNA(VLOOKUP(_xlfn.CONCAT("T",G$1,"V",$D70,"A",$A70),Vulnerabilities!$G:$G,1,FALSE),"")</x:f>
      </x:c>
      <x:c r="H70" s="21" t="str">
        <x:f>_xlfn.IFNA(VLOOKUP(_xlfn.CONCAT("T",H$1,"V",$D70,"A",$A70),Vulnerabilities!$G:$G,1,FALSE),"")</x:f>
      </x:c>
      <x:c r="I70" s="21" t="str">
        <x:f>_xlfn.IFNA(VLOOKUP(_xlfn.CONCAT("T",I$1,"V",$D70,"A",$A70),Vulnerabilities!$G:$G,1,FALSE),"")</x:f>
      </x:c>
      <x:c r="J70" s="21" t="str">
        <x:f>_xlfn.IFNA(VLOOKUP(_xlfn.CONCAT("T",J$1,"V",$D70,"A",$A70),Vulnerabilities!$G:$G,1,FALSE),"")</x:f>
      </x:c>
      <x:c r="K70" s="21" t="str">
        <x:f>_xlfn.IFNA(VLOOKUP(_xlfn.CONCAT("T",K$1,"V",$D70,"A",$A70),Vulnerabilities!$G:$G,1,FALSE),"")</x:f>
      </x:c>
      <x:c r="L70" s="21" t="str">
        <x:f>_xlfn.IFNA(VLOOKUP(_xlfn.CONCAT("T",L$1,"V",$D70,"A",$A70),Vulnerabilities!$G:$G,1,FALSE),"")</x:f>
      </x:c>
      <x:c r="M70" s="21" t="str">
        <x:f>_xlfn.IFNA(VLOOKUP(_xlfn.CONCAT("T",M$1,"V",$D70,"A",$A70),Vulnerabilities!$G:$G,1,FALSE),"")</x:f>
      </x:c>
      <x:c r="N70" s="21" t="str">
        <x:f>_xlfn.IFNA(VLOOKUP(_xlfn.CONCAT("T",N$1,"V",$D70,"A",$A70),Vulnerabilities!$G:$G,1,FALSE),"")</x:f>
      </x:c>
      <x:c r="O70" s="21" t="str">
        <x:f>_xlfn.IFNA(VLOOKUP(_xlfn.CONCAT("T",O$1,"V",$D70,"A",$A70),Vulnerabilities!$G:$G,1,FALSE),"")</x:f>
      </x:c>
      <x:c r="P70" s="17" t="str">
        <x:f>_xlfn.IFNA(VLOOKUP(_xlfn.CONCAT("T",P$1,"V",$D70,"A",$A70),Vulnerabilities!$G:$G,1,FALSE),"")</x:f>
      </x:c>
    </x:row>
    <x:row r="71">
      <x:c r="A71" s="1">
        <x:f t="shared" si="1"/>
        <x:v>18</x:v>
      </x:c>
      <x:c r="B71" t="str">
        <x:f>IF(VLOOKUP($A71,Assets!$A:$C,2,FALSE)=0,"",VLOOKUP($A71,Assets!$A:$C,2,FALSE))</x:f>
      </x:c>
      <x:c r="C71" t="str">
        <x:f>IF(VLOOKUP($A71,Assets!$A:$C,3,FALSE)=0,"",VLOOKUP($A71,Assets!$A:$C,3,FALSE))</x:f>
      </x:c>
      <x:c r="D71" s="16">
        <x:v>1</x:v>
      </x:c>
      <x:c r="E71" s="20" t="str">
        <x:f>_xlfn.IFNA(VLOOKUP(_xlfn.CONCAT("T",E$1,"V",$D71,"A",$A71),Vulnerabilities!$G:$G,1,FALSE),"")</x:f>
      </x:c>
      <x:c r="F71" s="20" t="str">
        <x:f>_xlfn.IFNA(VLOOKUP(_xlfn.CONCAT("T",F$1,"V",$D71,"A",$A71),Vulnerabilities!$G:$G,1,FALSE),"")</x:f>
      </x:c>
      <x:c r="G71" s="20" t="str">
        <x:f>_xlfn.IFNA(VLOOKUP(_xlfn.CONCAT("T",G$1,"V",$D71,"A",$A71),Vulnerabilities!$G:$G,1,FALSE),"")</x:f>
      </x:c>
      <x:c r="H71" s="20" t="str">
        <x:f>_xlfn.IFNA(VLOOKUP(_xlfn.CONCAT("T",H$1,"V",$D71,"A",$A71),Vulnerabilities!$G:$G,1,FALSE),"")</x:f>
      </x:c>
      <x:c r="I71" s="20" t="str">
        <x:f>_xlfn.IFNA(VLOOKUP(_xlfn.CONCAT("T",I$1,"V",$D71,"A",$A71),Vulnerabilities!$G:$G,1,FALSE),"")</x:f>
      </x:c>
      <x:c r="J71" s="20" t="str">
        <x:f>_xlfn.IFNA(VLOOKUP(_xlfn.CONCAT("T",J$1,"V",$D71,"A",$A71),Vulnerabilities!$G:$G,1,FALSE),"")</x:f>
      </x:c>
      <x:c r="K71" s="20" t="str">
        <x:f>_xlfn.IFNA(VLOOKUP(_xlfn.CONCAT("T",K$1,"V",$D71,"A",$A71),Vulnerabilities!$G:$G,1,FALSE),"")</x:f>
      </x:c>
      <x:c r="L71" s="20" t="str">
        <x:f>_xlfn.IFNA(VLOOKUP(_xlfn.CONCAT("T",L$1,"V",$D71,"A",$A71),Vulnerabilities!$G:$G,1,FALSE),"")</x:f>
      </x:c>
      <x:c r="M71" s="20" t="str">
        <x:f>_xlfn.IFNA(VLOOKUP(_xlfn.CONCAT("T",M$1,"V",$D71,"A",$A71),Vulnerabilities!$G:$G,1,FALSE),"")</x:f>
      </x:c>
      <x:c r="N71" s="20" t="str">
        <x:f>_xlfn.IFNA(VLOOKUP(_xlfn.CONCAT("T",N$1,"V",$D71,"A",$A71),Vulnerabilities!$G:$G,1,FALSE),"")</x:f>
      </x:c>
      <x:c r="O71" s="20" t="str">
        <x:f>_xlfn.IFNA(VLOOKUP(_xlfn.CONCAT("T",O$1,"V",$D71,"A",$A71),Vulnerabilities!$G:$G,1,FALSE),"")</x:f>
      </x:c>
      <x:c r="P71" s="16" t="str">
        <x:f>_xlfn.IFNA(VLOOKUP(_xlfn.CONCAT("T",P$1,"V",$D71,"A",$A71),Vulnerabilities!$G:$G,1,FALSE),"")</x:f>
      </x:c>
    </x:row>
    <x:row r="72">
      <x:c r="A72" s="1">
        <x:f t="shared" si="1"/>
        <x:v>18</x:v>
      </x:c>
      <x:c r="B72" t="str">
        <x:f>IF(VLOOKUP($A72,Assets!$A:$C,2,FALSE)=0,"",VLOOKUP($A72,Assets!$A:$C,2,FALSE))</x:f>
      </x:c>
      <x:c r="C72" t="str">
        <x:f>IF(VLOOKUP($A72,Assets!$A:$C,3,FALSE)=0,"",VLOOKUP($A72,Assets!$A:$C,3,FALSE))</x:f>
      </x:c>
      <x:c r="D72" s="16">
        <x:v>2</x:v>
      </x:c>
      <x:c r="E72" s="20" t="str">
        <x:f>_xlfn.IFNA(VLOOKUP(_xlfn.CONCAT("T",E$1,"V",$D72,"A",$A72),Vulnerabilities!$G:$G,1,FALSE),"")</x:f>
      </x:c>
      <x:c r="F72" s="20" t="str">
        <x:f>_xlfn.IFNA(VLOOKUP(_xlfn.CONCAT("T",F$1,"V",$D72,"A",$A72),Vulnerabilities!$G:$G,1,FALSE),"")</x:f>
      </x:c>
      <x:c r="G72" s="20" t="str">
        <x:f>_xlfn.IFNA(VLOOKUP(_xlfn.CONCAT("T",G$1,"V",$D72,"A",$A72),Vulnerabilities!$G:$G,1,FALSE),"")</x:f>
      </x:c>
      <x:c r="H72" s="20" t="str">
        <x:f>_xlfn.IFNA(VLOOKUP(_xlfn.CONCAT("T",H$1,"V",$D72,"A",$A72),Vulnerabilities!$G:$G,1,FALSE),"")</x:f>
      </x:c>
      <x:c r="I72" s="20" t="str">
        <x:f>_xlfn.IFNA(VLOOKUP(_xlfn.CONCAT("T",I$1,"V",$D72,"A",$A72),Vulnerabilities!$G:$G,1,FALSE),"")</x:f>
      </x:c>
      <x:c r="J72" s="20" t="str">
        <x:f>_xlfn.IFNA(VLOOKUP(_xlfn.CONCAT("T",J$1,"V",$D72,"A",$A72),Vulnerabilities!$G:$G,1,FALSE),"")</x:f>
      </x:c>
      <x:c r="K72" s="20" t="str">
        <x:f>_xlfn.IFNA(VLOOKUP(_xlfn.CONCAT("T",K$1,"V",$D72,"A",$A72),Vulnerabilities!$G:$G,1,FALSE),"")</x:f>
      </x:c>
      <x:c r="L72" s="20" t="str">
        <x:f>_xlfn.IFNA(VLOOKUP(_xlfn.CONCAT("T",L$1,"V",$D72,"A",$A72),Vulnerabilities!$G:$G,1,FALSE),"")</x:f>
      </x:c>
      <x:c r="M72" s="20" t="str">
        <x:f>_xlfn.IFNA(VLOOKUP(_xlfn.CONCAT("T",M$1,"V",$D72,"A",$A72),Vulnerabilities!$G:$G,1,FALSE),"")</x:f>
      </x:c>
      <x:c r="N72" s="20" t="str">
        <x:f>_xlfn.IFNA(VLOOKUP(_xlfn.CONCAT("T",N$1,"V",$D72,"A",$A72),Vulnerabilities!$G:$G,1,FALSE),"")</x:f>
      </x:c>
      <x:c r="O72" s="20" t="str">
        <x:f>_xlfn.IFNA(VLOOKUP(_xlfn.CONCAT("T",O$1,"V",$D72,"A",$A72),Vulnerabilities!$G:$G,1,FALSE),"")</x:f>
      </x:c>
      <x:c r="P72" s="16" t="str">
        <x:f>_xlfn.IFNA(VLOOKUP(_xlfn.CONCAT("T",P$1,"V",$D72,"A",$A72),Vulnerabilities!$G:$G,1,FALSE),"")</x:f>
      </x:c>
    </x:row>
    <x:row r="73">
      <x:c r="A73" s="1">
        <x:f t="shared" si="1"/>
        <x:v>18</x:v>
      </x:c>
      <x:c r="B73" t="str">
        <x:f>IF(VLOOKUP($A73,Assets!$A:$C,2,FALSE)=0,"",VLOOKUP($A73,Assets!$A:$C,2,FALSE))</x:f>
      </x:c>
      <x:c r="C73" t="str">
        <x:f>IF(VLOOKUP($A73,Assets!$A:$C,3,FALSE)=0,"",VLOOKUP($A73,Assets!$A:$C,3,FALSE))</x:f>
      </x:c>
      <x:c r="D73" s="16">
        <x:v>3</x:v>
      </x:c>
      <x:c r="E73" s="20" t="str">
        <x:f>_xlfn.IFNA(VLOOKUP(_xlfn.CONCAT("T",E$1,"V",$D73,"A",$A73),Vulnerabilities!$G:$G,1,FALSE),"")</x:f>
      </x:c>
      <x:c r="F73" s="20" t="str">
        <x:f>_xlfn.IFNA(VLOOKUP(_xlfn.CONCAT("T",F$1,"V",$D73,"A",$A73),Vulnerabilities!$G:$G,1,FALSE),"")</x:f>
      </x:c>
      <x:c r="G73" s="20" t="str">
        <x:f>_xlfn.IFNA(VLOOKUP(_xlfn.CONCAT("T",G$1,"V",$D73,"A",$A73),Vulnerabilities!$G:$G,1,FALSE),"")</x:f>
      </x:c>
      <x:c r="H73" s="20" t="str">
        <x:f>_xlfn.IFNA(VLOOKUP(_xlfn.CONCAT("T",H$1,"V",$D73,"A",$A73),Vulnerabilities!$G:$G,1,FALSE),"")</x:f>
      </x:c>
      <x:c r="I73" s="20" t="str">
        <x:f>_xlfn.IFNA(VLOOKUP(_xlfn.CONCAT("T",I$1,"V",$D73,"A",$A73),Vulnerabilities!$G:$G,1,FALSE),"")</x:f>
      </x:c>
      <x:c r="J73" s="20" t="str">
        <x:f>_xlfn.IFNA(VLOOKUP(_xlfn.CONCAT("T",J$1,"V",$D73,"A",$A73),Vulnerabilities!$G:$G,1,FALSE),"")</x:f>
      </x:c>
      <x:c r="K73" s="20" t="str">
        <x:f>_xlfn.IFNA(VLOOKUP(_xlfn.CONCAT("T",K$1,"V",$D73,"A",$A73),Vulnerabilities!$G:$G,1,FALSE),"")</x:f>
      </x:c>
      <x:c r="L73" s="20" t="str">
        <x:f>_xlfn.IFNA(VLOOKUP(_xlfn.CONCAT("T",L$1,"V",$D73,"A",$A73),Vulnerabilities!$G:$G,1,FALSE),"")</x:f>
      </x:c>
      <x:c r="M73" s="20" t="str">
        <x:f>_xlfn.IFNA(VLOOKUP(_xlfn.CONCAT("T",M$1,"V",$D73,"A",$A73),Vulnerabilities!$G:$G,1,FALSE),"")</x:f>
      </x:c>
      <x:c r="N73" s="20" t="str">
        <x:f>_xlfn.IFNA(VLOOKUP(_xlfn.CONCAT("T",N$1,"V",$D73,"A",$A73),Vulnerabilities!$G:$G,1,FALSE),"")</x:f>
      </x:c>
      <x:c r="O73" s="20" t="str">
        <x:f>_xlfn.IFNA(VLOOKUP(_xlfn.CONCAT("T",O$1,"V",$D73,"A",$A73),Vulnerabilities!$G:$G,1,FALSE),"")</x:f>
      </x:c>
      <x:c r="P73" s="16" t="str">
        <x:f>_xlfn.IFNA(VLOOKUP(_xlfn.CONCAT("T",P$1,"V",$D73,"A",$A73),Vulnerabilities!$G:$G,1,FALSE),"")</x:f>
      </x:c>
    </x:row>
    <x:row r="74">
      <x:c r="A74" s="11">
        <x:f t="shared" si="1"/>
        <x:v>18</x:v>
      </x:c>
      <x:c r="B74" s="12" t="str">
        <x:f>IF(VLOOKUP($A74,Assets!$A:$C,2,FALSE)=0,"",VLOOKUP($A74,Assets!$A:$C,2,FALSE))</x:f>
      </x:c>
      <x:c r="C74" s="12" t="str">
        <x:f>IF(VLOOKUP($A74,Assets!$A:$C,3,FALSE)=0,"",VLOOKUP($A74,Assets!$A:$C,3,FALSE))</x:f>
      </x:c>
      <x:c r="D74" s="17">
        <x:v>4</x:v>
      </x:c>
      <x:c r="E74" s="21" t="str">
        <x:f>_xlfn.IFNA(VLOOKUP(_xlfn.CONCAT("T",E$1,"V",$D74,"A",$A74),Vulnerabilities!$G:$G,1,FALSE),"")</x:f>
      </x:c>
      <x:c r="F74" s="21" t="str">
        <x:f>_xlfn.IFNA(VLOOKUP(_xlfn.CONCAT("T",F$1,"V",$D74,"A",$A74),Vulnerabilities!$G:$G,1,FALSE),"")</x:f>
      </x:c>
      <x:c r="G74" s="21" t="str">
        <x:f>_xlfn.IFNA(VLOOKUP(_xlfn.CONCAT("T",G$1,"V",$D74,"A",$A74),Vulnerabilities!$G:$G,1,FALSE),"")</x:f>
      </x:c>
      <x:c r="H74" s="21" t="str">
        <x:f>_xlfn.IFNA(VLOOKUP(_xlfn.CONCAT("T",H$1,"V",$D74,"A",$A74),Vulnerabilities!$G:$G,1,FALSE),"")</x:f>
      </x:c>
      <x:c r="I74" s="21" t="str">
        <x:f>_xlfn.IFNA(VLOOKUP(_xlfn.CONCAT("T",I$1,"V",$D74,"A",$A74),Vulnerabilities!$G:$G,1,FALSE),"")</x:f>
      </x:c>
      <x:c r="J74" s="21" t="str">
        <x:f>_xlfn.IFNA(VLOOKUP(_xlfn.CONCAT("T",J$1,"V",$D74,"A",$A74),Vulnerabilities!$G:$G,1,FALSE),"")</x:f>
      </x:c>
      <x:c r="K74" s="21" t="str">
        <x:f>_xlfn.IFNA(VLOOKUP(_xlfn.CONCAT("T",K$1,"V",$D74,"A",$A74),Vulnerabilities!$G:$G,1,FALSE),"")</x:f>
      </x:c>
      <x:c r="L74" s="21" t="str">
        <x:f>_xlfn.IFNA(VLOOKUP(_xlfn.CONCAT("T",L$1,"V",$D74,"A",$A74),Vulnerabilities!$G:$G,1,FALSE),"")</x:f>
      </x:c>
      <x:c r="M74" s="21" t="str">
        <x:f>_xlfn.IFNA(VLOOKUP(_xlfn.CONCAT("T",M$1,"V",$D74,"A",$A74),Vulnerabilities!$G:$G,1,FALSE),"")</x:f>
      </x:c>
      <x:c r="N74" s="21" t="str">
        <x:f>_xlfn.IFNA(VLOOKUP(_xlfn.CONCAT("T",N$1,"V",$D74,"A",$A74),Vulnerabilities!$G:$G,1,FALSE),"")</x:f>
      </x:c>
      <x:c r="O74" s="21" t="str">
        <x:f>_xlfn.IFNA(VLOOKUP(_xlfn.CONCAT("T",O$1,"V",$D74,"A",$A74),Vulnerabilities!$G:$G,1,FALSE),"")</x:f>
      </x:c>
      <x:c r="P74" s="17" t="str">
        <x:f>_xlfn.IFNA(VLOOKUP(_xlfn.CONCAT("T",P$1,"V",$D74,"A",$A74),Vulnerabilities!$G:$G,1,FALSE),"")</x:f>
      </x:c>
    </x:row>
    <x:row r="75">
      <x:c r="A75" s="1">
        <x:f t="shared" si="1"/>
        <x:v>19</x:v>
      </x:c>
      <x:c r="B75" t="str">
        <x:f>IF(VLOOKUP($A75,Assets!$A:$C,2,FALSE)=0,"",VLOOKUP($A75,Assets!$A:$C,2,FALSE))</x:f>
      </x:c>
      <x:c r="C75" t="str">
        <x:f>IF(VLOOKUP($A75,Assets!$A:$C,3,FALSE)=0,"",VLOOKUP($A75,Assets!$A:$C,3,FALSE))</x:f>
      </x:c>
      <x:c r="D75" s="16">
        <x:v>1</x:v>
      </x:c>
      <x:c r="E75" s="20" t="str">
        <x:f>_xlfn.IFNA(VLOOKUP(_xlfn.CONCAT("T",E$1,"V",$D75,"A",$A75),Vulnerabilities!$G:$G,1,FALSE),"")</x:f>
      </x:c>
      <x:c r="F75" s="20" t="str">
        <x:f>_xlfn.IFNA(VLOOKUP(_xlfn.CONCAT("T",F$1,"V",$D75,"A",$A75),Vulnerabilities!$G:$G,1,FALSE),"")</x:f>
      </x:c>
      <x:c r="G75" s="20" t="str">
        <x:f>_xlfn.IFNA(VLOOKUP(_xlfn.CONCAT("T",G$1,"V",$D75,"A",$A75),Vulnerabilities!$G:$G,1,FALSE),"")</x:f>
      </x:c>
      <x:c r="H75" s="20" t="str">
        <x:f>_xlfn.IFNA(VLOOKUP(_xlfn.CONCAT("T",H$1,"V",$D75,"A",$A75),Vulnerabilities!$G:$G,1,FALSE),"")</x:f>
      </x:c>
      <x:c r="I75" s="20" t="str">
        <x:f>_xlfn.IFNA(VLOOKUP(_xlfn.CONCAT("T",I$1,"V",$D75,"A",$A75),Vulnerabilities!$G:$G,1,FALSE),"")</x:f>
      </x:c>
      <x:c r="J75" s="20" t="str">
        <x:f>_xlfn.IFNA(VLOOKUP(_xlfn.CONCAT("T",J$1,"V",$D75,"A",$A75),Vulnerabilities!$G:$G,1,FALSE),"")</x:f>
      </x:c>
      <x:c r="K75" s="20" t="str">
        <x:f>_xlfn.IFNA(VLOOKUP(_xlfn.CONCAT("T",K$1,"V",$D75,"A",$A75),Vulnerabilities!$G:$G,1,FALSE),"")</x:f>
      </x:c>
      <x:c r="L75" s="20" t="str">
        <x:f>_xlfn.IFNA(VLOOKUP(_xlfn.CONCAT("T",L$1,"V",$D75,"A",$A75),Vulnerabilities!$G:$G,1,FALSE),"")</x:f>
      </x:c>
      <x:c r="M75" s="20" t="str">
        <x:f>_xlfn.IFNA(VLOOKUP(_xlfn.CONCAT("T",M$1,"V",$D75,"A",$A75),Vulnerabilities!$G:$G,1,FALSE),"")</x:f>
      </x:c>
      <x:c r="N75" s="20" t="str">
        <x:f>_xlfn.IFNA(VLOOKUP(_xlfn.CONCAT("T",N$1,"V",$D75,"A",$A75),Vulnerabilities!$G:$G,1,FALSE),"")</x:f>
      </x:c>
      <x:c r="O75" s="20" t="str">
        <x:f>_xlfn.IFNA(VLOOKUP(_xlfn.CONCAT("T",O$1,"V",$D75,"A",$A75),Vulnerabilities!$G:$G,1,FALSE),"")</x:f>
      </x:c>
      <x:c r="P75" s="16" t="str">
        <x:f>_xlfn.IFNA(VLOOKUP(_xlfn.CONCAT("T",P$1,"V",$D75,"A",$A75),Vulnerabilities!$G:$G,1,FALSE),"")</x:f>
      </x:c>
    </x:row>
    <x:row r="76">
      <x:c r="A76" s="1">
        <x:f t="shared" si="1"/>
        <x:v>19</x:v>
      </x:c>
      <x:c r="B76" t="str">
        <x:f>IF(VLOOKUP($A76,Assets!$A:$C,2,FALSE)=0,"",VLOOKUP($A76,Assets!$A:$C,2,FALSE))</x:f>
      </x:c>
      <x:c r="C76" t="str">
        <x:f>IF(VLOOKUP($A76,Assets!$A:$C,3,FALSE)=0,"",VLOOKUP($A76,Assets!$A:$C,3,FALSE))</x:f>
      </x:c>
      <x:c r="D76" s="16">
        <x:v>2</x:v>
      </x:c>
      <x:c r="E76" s="20" t="str">
        <x:f>_xlfn.IFNA(VLOOKUP(_xlfn.CONCAT("T",E$1,"V",$D76,"A",$A76),Vulnerabilities!$G:$G,1,FALSE),"")</x:f>
      </x:c>
      <x:c r="F76" s="20" t="str">
        <x:f>_xlfn.IFNA(VLOOKUP(_xlfn.CONCAT("T",F$1,"V",$D76,"A",$A76),Vulnerabilities!$G:$G,1,FALSE),"")</x:f>
      </x:c>
      <x:c r="G76" s="20" t="str">
        <x:f>_xlfn.IFNA(VLOOKUP(_xlfn.CONCAT("T",G$1,"V",$D76,"A",$A76),Vulnerabilities!$G:$G,1,FALSE),"")</x:f>
      </x:c>
      <x:c r="H76" s="20" t="str">
        <x:f>_xlfn.IFNA(VLOOKUP(_xlfn.CONCAT("T",H$1,"V",$D76,"A",$A76),Vulnerabilities!$G:$G,1,FALSE),"")</x:f>
      </x:c>
      <x:c r="I76" s="20" t="str">
        <x:f>_xlfn.IFNA(VLOOKUP(_xlfn.CONCAT("T",I$1,"V",$D76,"A",$A76),Vulnerabilities!$G:$G,1,FALSE),"")</x:f>
      </x:c>
      <x:c r="J76" s="20" t="str">
        <x:f>_xlfn.IFNA(VLOOKUP(_xlfn.CONCAT("T",J$1,"V",$D76,"A",$A76),Vulnerabilities!$G:$G,1,FALSE),"")</x:f>
      </x:c>
      <x:c r="K76" s="20" t="str">
        <x:f>_xlfn.IFNA(VLOOKUP(_xlfn.CONCAT("T",K$1,"V",$D76,"A",$A76),Vulnerabilities!$G:$G,1,FALSE),"")</x:f>
      </x:c>
      <x:c r="L76" s="20" t="str">
        <x:f>_xlfn.IFNA(VLOOKUP(_xlfn.CONCAT("T",L$1,"V",$D76,"A",$A76),Vulnerabilities!$G:$G,1,FALSE),"")</x:f>
      </x:c>
      <x:c r="M76" s="20" t="str">
        <x:f>_xlfn.IFNA(VLOOKUP(_xlfn.CONCAT("T",M$1,"V",$D76,"A",$A76),Vulnerabilities!$G:$G,1,FALSE),"")</x:f>
      </x:c>
      <x:c r="N76" s="20" t="str">
        <x:f>_xlfn.IFNA(VLOOKUP(_xlfn.CONCAT("T",N$1,"V",$D76,"A",$A76),Vulnerabilities!$G:$G,1,FALSE),"")</x:f>
      </x:c>
      <x:c r="O76" s="20" t="str">
        <x:f>_xlfn.IFNA(VLOOKUP(_xlfn.CONCAT("T",O$1,"V",$D76,"A",$A76),Vulnerabilities!$G:$G,1,FALSE),"")</x:f>
      </x:c>
      <x:c r="P76" s="16" t="str">
        <x:f>_xlfn.IFNA(VLOOKUP(_xlfn.CONCAT("T",P$1,"V",$D76,"A",$A76),Vulnerabilities!$G:$G,1,FALSE),"")</x:f>
      </x:c>
    </x:row>
    <x:row r="77">
      <x:c r="A77" s="1">
        <x:f t="shared" si="1"/>
        <x:v>19</x:v>
      </x:c>
      <x:c r="B77" t="str">
        <x:f>IF(VLOOKUP($A77,Assets!$A:$C,2,FALSE)=0,"",VLOOKUP($A77,Assets!$A:$C,2,FALSE))</x:f>
      </x:c>
      <x:c r="C77" t="str">
        <x:f>IF(VLOOKUP($A77,Assets!$A:$C,3,FALSE)=0,"",VLOOKUP($A77,Assets!$A:$C,3,FALSE))</x:f>
      </x:c>
      <x:c r="D77" s="16">
        <x:v>3</x:v>
      </x:c>
      <x:c r="E77" s="20" t="str">
        <x:f>_xlfn.IFNA(VLOOKUP(_xlfn.CONCAT("T",E$1,"V",$D77,"A",$A77),Vulnerabilities!$G:$G,1,FALSE),"")</x:f>
      </x:c>
      <x:c r="F77" s="20" t="str">
        <x:f>_xlfn.IFNA(VLOOKUP(_xlfn.CONCAT("T",F$1,"V",$D77,"A",$A77),Vulnerabilities!$G:$G,1,FALSE),"")</x:f>
      </x:c>
      <x:c r="G77" s="20" t="str">
        <x:f>_xlfn.IFNA(VLOOKUP(_xlfn.CONCAT("T",G$1,"V",$D77,"A",$A77),Vulnerabilities!$G:$G,1,FALSE),"")</x:f>
      </x:c>
      <x:c r="H77" s="20" t="str">
        <x:f>_xlfn.IFNA(VLOOKUP(_xlfn.CONCAT("T",H$1,"V",$D77,"A",$A77),Vulnerabilities!$G:$G,1,FALSE),"")</x:f>
      </x:c>
      <x:c r="I77" s="20" t="str">
        <x:f>_xlfn.IFNA(VLOOKUP(_xlfn.CONCAT("T",I$1,"V",$D77,"A",$A77),Vulnerabilities!$G:$G,1,FALSE),"")</x:f>
      </x:c>
      <x:c r="J77" s="20" t="str">
        <x:f>_xlfn.IFNA(VLOOKUP(_xlfn.CONCAT("T",J$1,"V",$D77,"A",$A77),Vulnerabilities!$G:$G,1,FALSE),"")</x:f>
      </x:c>
      <x:c r="K77" s="20" t="str">
        <x:f>_xlfn.IFNA(VLOOKUP(_xlfn.CONCAT("T",K$1,"V",$D77,"A",$A77),Vulnerabilities!$G:$G,1,FALSE),"")</x:f>
      </x:c>
      <x:c r="L77" s="20" t="str">
        <x:f>_xlfn.IFNA(VLOOKUP(_xlfn.CONCAT("T",L$1,"V",$D77,"A",$A77),Vulnerabilities!$G:$G,1,FALSE),"")</x:f>
      </x:c>
      <x:c r="M77" s="20" t="str">
        <x:f>_xlfn.IFNA(VLOOKUP(_xlfn.CONCAT("T",M$1,"V",$D77,"A",$A77),Vulnerabilities!$G:$G,1,FALSE),"")</x:f>
      </x:c>
      <x:c r="N77" s="20" t="str">
        <x:f>_xlfn.IFNA(VLOOKUP(_xlfn.CONCAT("T",N$1,"V",$D77,"A",$A77),Vulnerabilities!$G:$G,1,FALSE),"")</x:f>
      </x:c>
      <x:c r="O77" s="20" t="str">
        <x:f>_xlfn.IFNA(VLOOKUP(_xlfn.CONCAT("T",O$1,"V",$D77,"A",$A77),Vulnerabilities!$G:$G,1,FALSE),"")</x:f>
      </x:c>
      <x:c r="P77" s="16" t="str">
        <x:f>_xlfn.IFNA(VLOOKUP(_xlfn.CONCAT("T",P$1,"V",$D77,"A",$A77),Vulnerabilities!$G:$G,1,FALSE),"")</x:f>
      </x:c>
    </x:row>
    <x:row r="78">
      <x:c r="A78" s="11">
        <x:f t="shared" si="1"/>
        <x:v>19</x:v>
      </x:c>
      <x:c r="B78" s="12" t="str">
        <x:f>IF(VLOOKUP($A78,Assets!$A:$C,2,FALSE)=0,"",VLOOKUP($A78,Assets!$A:$C,2,FALSE))</x:f>
      </x:c>
      <x:c r="C78" s="12" t="str">
        <x:f>IF(VLOOKUP($A78,Assets!$A:$C,3,FALSE)=0,"",VLOOKUP($A78,Assets!$A:$C,3,FALSE))</x:f>
      </x:c>
      <x:c r="D78" s="17">
        <x:v>4</x:v>
      </x:c>
      <x:c r="E78" s="21" t="str">
        <x:f>_xlfn.IFNA(VLOOKUP(_xlfn.CONCAT("T",E$1,"V",$D78,"A",$A78),Vulnerabilities!$G:$G,1,FALSE),"")</x:f>
      </x:c>
      <x:c r="F78" s="21" t="str">
        <x:f>_xlfn.IFNA(VLOOKUP(_xlfn.CONCAT("T",F$1,"V",$D78,"A",$A78),Vulnerabilities!$G:$G,1,FALSE),"")</x:f>
      </x:c>
      <x:c r="G78" s="21" t="str">
        <x:f>_xlfn.IFNA(VLOOKUP(_xlfn.CONCAT("T",G$1,"V",$D78,"A",$A78),Vulnerabilities!$G:$G,1,FALSE),"")</x:f>
      </x:c>
      <x:c r="H78" s="21" t="str">
        <x:f>_xlfn.IFNA(VLOOKUP(_xlfn.CONCAT("T",H$1,"V",$D78,"A",$A78),Vulnerabilities!$G:$G,1,FALSE),"")</x:f>
      </x:c>
      <x:c r="I78" s="21" t="str">
        <x:f>_xlfn.IFNA(VLOOKUP(_xlfn.CONCAT("T",I$1,"V",$D78,"A",$A78),Vulnerabilities!$G:$G,1,FALSE),"")</x:f>
      </x:c>
      <x:c r="J78" s="21" t="str">
        <x:f>_xlfn.IFNA(VLOOKUP(_xlfn.CONCAT("T",J$1,"V",$D78,"A",$A78),Vulnerabilities!$G:$G,1,FALSE),"")</x:f>
      </x:c>
      <x:c r="K78" s="21" t="str">
        <x:f>_xlfn.IFNA(VLOOKUP(_xlfn.CONCAT("T",K$1,"V",$D78,"A",$A78),Vulnerabilities!$G:$G,1,FALSE),"")</x:f>
      </x:c>
      <x:c r="L78" s="21" t="str">
        <x:f>_xlfn.IFNA(VLOOKUP(_xlfn.CONCAT("T",L$1,"V",$D78,"A",$A78),Vulnerabilities!$G:$G,1,FALSE),"")</x:f>
      </x:c>
      <x:c r="M78" s="21" t="str">
        <x:f>_xlfn.IFNA(VLOOKUP(_xlfn.CONCAT("T",M$1,"V",$D78,"A",$A78),Vulnerabilities!$G:$G,1,FALSE),"")</x:f>
      </x:c>
      <x:c r="N78" s="21" t="str">
        <x:f>_xlfn.IFNA(VLOOKUP(_xlfn.CONCAT("T",N$1,"V",$D78,"A",$A78),Vulnerabilities!$G:$G,1,FALSE),"")</x:f>
      </x:c>
      <x:c r="O78" s="21" t="str">
        <x:f>_xlfn.IFNA(VLOOKUP(_xlfn.CONCAT("T",O$1,"V",$D78,"A",$A78),Vulnerabilities!$G:$G,1,FALSE),"")</x:f>
      </x:c>
      <x:c r="P78" s="17" t="str">
        <x:f>_xlfn.IFNA(VLOOKUP(_xlfn.CONCAT("T",P$1,"V",$D78,"A",$A78),Vulnerabilities!$G:$G,1,FALSE),"")</x:f>
      </x:c>
    </x:row>
    <x:row r="79">
      <x:c r="A79" s="1">
        <x:f t="shared" si="1"/>
        <x:v>20</x:v>
      </x:c>
      <x:c r="B79" t="str">
        <x:f>IF(VLOOKUP($A79,Assets!$A:$C,2,FALSE)=0,"",VLOOKUP($A79,Assets!$A:$C,2,FALSE))</x:f>
      </x:c>
      <x:c r="C79" t="str">
        <x:f>IF(VLOOKUP($A79,Assets!$A:$C,3,FALSE)=0,"",VLOOKUP($A79,Assets!$A:$C,3,FALSE))</x:f>
      </x:c>
      <x:c r="D79" s="16">
        <x:v>1</x:v>
      </x:c>
      <x:c r="E79" s="20" t="str">
        <x:f>_xlfn.IFNA(VLOOKUP(_xlfn.CONCAT("T",E$1,"V",$D79,"A",$A79),Vulnerabilities!$G:$G,1,FALSE),"")</x:f>
      </x:c>
      <x:c r="F79" s="20" t="str">
        <x:f>_xlfn.IFNA(VLOOKUP(_xlfn.CONCAT("T",F$1,"V",$D79,"A",$A79),Vulnerabilities!$G:$G,1,FALSE),"")</x:f>
      </x:c>
      <x:c r="G79" s="20" t="str">
        <x:f>_xlfn.IFNA(VLOOKUP(_xlfn.CONCAT("T",G$1,"V",$D79,"A",$A79),Vulnerabilities!$G:$G,1,FALSE),"")</x:f>
      </x:c>
      <x:c r="H79" s="20" t="str">
        <x:f>_xlfn.IFNA(VLOOKUP(_xlfn.CONCAT("T",H$1,"V",$D79,"A",$A79),Vulnerabilities!$G:$G,1,FALSE),"")</x:f>
      </x:c>
      <x:c r="I79" s="20" t="str">
        <x:f>_xlfn.IFNA(VLOOKUP(_xlfn.CONCAT("T",I$1,"V",$D79,"A",$A79),Vulnerabilities!$G:$G,1,FALSE),"")</x:f>
      </x:c>
      <x:c r="J79" s="20" t="str">
        <x:f>_xlfn.IFNA(VLOOKUP(_xlfn.CONCAT("T",J$1,"V",$D79,"A",$A79),Vulnerabilities!$G:$G,1,FALSE),"")</x:f>
      </x:c>
      <x:c r="K79" s="20" t="str">
        <x:f>_xlfn.IFNA(VLOOKUP(_xlfn.CONCAT("T",K$1,"V",$D79,"A",$A79),Vulnerabilities!$G:$G,1,FALSE),"")</x:f>
      </x:c>
      <x:c r="L79" s="20" t="str">
        <x:f>_xlfn.IFNA(VLOOKUP(_xlfn.CONCAT("T",L$1,"V",$D79,"A",$A79),Vulnerabilities!$G:$G,1,FALSE),"")</x:f>
      </x:c>
      <x:c r="M79" s="20" t="str">
        <x:f>_xlfn.IFNA(VLOOKUP(_xlfn.CONCAT("T",M$1,"V",$D79,"A",$A79),Vulnerabilities!$G:$G,1,FALSE),"")</x:f>
      </x:c>
      <x:c r="N79" s="20" t="str">
        <x:f>_xlfn.IFNA(VLOOKUP(_xlfn.CONCAT("T",N$1,"V",$D79,"A",$A79),Vulnerabilities!$G:$G,1,FALSE),"")</x:f>
      </x:c>
      <x:c r="O79" s="20" t="str">
        <x:f>_xlfn.IFNA(VLOOKUP(_xlfn.CONCAT("T",O$1,"V",$D79,"A",$A79),Vulnerabilities!$G:$G,1,FALSE),"")</x:f>
      </x:c>
      <x:c r="P79" s="16" t="str">
        <x:f>_xlfn.IFNA(VLOOKUP(_xlfn.CONCAT("T",P$1,"V",$D79,"A",$A79),Vulnerabilities!$G:$G,1,FALSE),"")</x:f>
      </x:c>
    </x:row>
    <x:row r="80">
      <x:c r="A80" s="1">
        <x:f t="shared" si="1"/>
        <x:v>20</x:v>
      </x:c>
      <x:c r="B80" t="str">
        <x:f>IF(VLOOKUP($A80,Assets!$A:$C,2,FALSE)=0,"",VLOOKUP($A80,Assets!$A:$C,2,FALSE))</x:f>
      </x:c>
      <x:c r="C80" t="str">
        <x:f>IF(VLOOKUP($A80,Assets!$A:$C,3,FALSE)=0,"",VLOOKUP($A80,Assets!$A:$C,3,FALSE))</x:f>
      </x:c>
      <x:c r="D80" s="16">
        <x:v>2</x:v>
      </x:c>
      <x:c r="E80" s="20" t="str">
        <x:f>_xlfn.IFNA(VLOOKUP(_xlfn.CONCAT("T",E$1,"V",$D80,"A",$A80),Vulnerabilities!$G:$G,1,FALSE),"")</x:f>
      </x:c>
      <x:c r="F80" s="20" t="str">
        <x:f>_xlfn.IFNA(VLOOKUP(_xlfn.CONCAT("T",F$1,"V",$D80,"A",$A80),Vulnerabilities!$G:$G,1,FALSE),"")</x:f>
      </x:c>
      <x:c r="G80" s="20" t="str">
        <x:f>_xlfn.IFNA(VLOOKUP(_xlfn.CONCAT("T",G$1,"V",$D80,"A",$A80),Vulnerabilities!$G:$G,1,FALSE),"")</x:f>
      </x:c>
      <x:c r="H80" s="20" t="str">
        <x:f>_xlfn.IFNA(VLOOKUP(_xlfn.CONCAT("T",H$1,"V",$D80,"A",$A80),Vulnerabilities!$G:$G,1,FALSE),"")</x:f>
      </x:c>
      <x:c r="I80" s="20" t="str">
        <x:f>_xlfn.IFNA(VLOOKUP(_xlfn.CONCAT("T",I$1,"V",$D80,"A",$A80),Vulnerabilities!$G:$G,1,FALSE),"")</x:f>
      </x:c>
      <x:c r="J80" s="20" t="str">
        <x:f>_xlfn.IFNA(VLOOKUP(_xlfn.CONCAT("T",J$1,"V",$D80,"A",$A80),Vulnerabilities!$G:$G,1,FALSE),"")</x:f>
      </x:c>
      <x:c r="K80" s="20" t="str">
        <x:f>_xlfn.IFNA(VLOOKUP(_xlfn.CONCAT("T",K$1,"V",$D80,"A",$A80),Vulnerabilities!$G:$G,1,FALSE),"")</x:f>
      </x:c>
      <x:c r="L80" s="20" t="str">
        <x:f>_xlfn.IFNA(VLOOKUP(_xlfn.CONCAT("T",L$1,"V",$D80,"A",$A80),Vulnerabilities!$G:$G,1,FALSE),"")</x:f>
      </x:c>
      <x:c r="M80" s="20" t="str">
        <x:f>_xlfn.IFNA(VLOOKUP(_xlfn.CONCAT("T",M$1,"V",$D80,"A",$A80),Vulnerabilities!$G:$G,1,FALSE),"")</x:f>
      </x:c>
      <x:c r="N80" s="20" t="str">
        <x:f>_xlfn.IFNA(VLOOKUP(_xlfn.CONCAT("T",N$1,"V",$D80,"A",$A80),Vulnerabilities!$G:$G,1,FALSE),"")</x:f>
      </x:c>
      <x:c r="O80" s="20" t="str">
        <x:f>_xlfn.IFNA(VLOOKUP(_xlfn.CONCAT("T",O$1,"V",$D80,"A",$A80),Vulnerabilities!$G:$G,1,FALSE),"")</x:f>
      </x:c>
      <x:c r="P80" s="16" t="str">
        <x:f>_xlfn.IFNA(VLOOKUP(_xlfn.CONCAT("T",P$1,"V",$D80,"A",$A80),Vulnerabilities!$G:$G,1,FALSE),"")</x:f>
      </x:c>
    </x:row>
    <x:row r="81">
      <x:c r="A81" s="1">
        <x:f t="shared" si="1"/>
        <x:v>20</x:v>
      </x:c>
      <x:c r="B81" t="str">
        <x:f>IF(VLOOKUP($A81,Assets!$A:$C,2,FALSE)=0,"",VLOOKUP($A81,Assets!$A:$C,2,FALSE))</x:f>
      </x:c>
      <x:c r="C81" t="str">
        <x:f>IF(VLOOKUP($A81,Assets!$A:$C,3,FALSE)=0,"",VLOOKUP($A81,Assets!$A:$C,3,FALSE))</x:f>
      </x:c>
      <x:c r="D81" s="16">
        <x:v>3</x:v>
      </x:c>
      <x:c r="E81" s="20" t="str">
        <x:f>_xlfn.IFNA(VLOOKUP(_xlfn.CONCAT("T",E$1,"V",$D81,"A",$A81),Vulnerabilities!$G:$G,1,FALSE),"")</x:f>
      </x:c>
      <x:c r="F81" s="20" t="str">
        <x:f>_xlfn.IFNA(VLOOKUP(_xlfn.CONCAT("T",F$1,"V",$D81,"A",$A81),Vulnerabilities!$G:$G,1,FALSE),"")</x:f>
      </x:c>
      <x:c r="G81" s="20" t="str">
        <x:f>_xlfn.IFNA(VLOOKUP(_xlfn.CONCAT("T",G$1,"V",$D81,"A",$A81),Vulnerabilities!$G:$G,1,FALSE),"")</x:f>
      </x:c>
      <x:c r="H81" s="20" t="str">
        <x:f>_xlfn.IFNA(VLOOKUP(_xlfn.CONCAT("T",H$1,"V",$D81,"A",$A81),Vulnerabilities!$G:$G,1,FALSE),"")</x:f>
      </x:c>
      <x:c r="I81" s="20" t="str">
        <x:f>_xlfn.IFNA(VLOOKUP(_xlfn.CONCAT("T",I$1,"V",$D81,"A",$A81),Vulnerabilities!$G:$G,1,FALSE),"")</x:f>
      </x:c>
      <x:c r="J81" s="20" t="str">
        <x:f>_xlfn.IFNA(VLOOKUP(_xlfn.CONCAT("T",J$1,"V",$D81,"A",$A81),Vulnerabilities!$G:$G,1,FALSE),"")</x:f>
      </x:c>
      <x:c r="K81" s="20" t="str">
        <x:f>_xlfn.IFNA(VLOOKUP(_xlfn.CONCAT("T",K$1,"V",$D81,"A",$A81),Vulnerabilities!$G:$G,1,FALSE),"")</x:f>
      </x:c>
      <x:c r="L81" s="20" t="str">
        <x:f>_xlfn.IFNA(VLOOKUP(_xlfn.CONCAT("T",L$1,"V",$D81,"A",$A81),Vulnerabilities!$G:$G,1,FALSE),"")</x:f>
      </x:c>
      <x:c r="M81" s="20" t="str">
        <x:f>_xlfn.IFNA(VLOOKUP(_xlfn.CONCAT("T",M$1,"V",$D81,"A",$A81),Vulnerabilities!$G:$G,1,FALSE),"")</x:f>
      </x:c>
      <x:c r="N81" s="20" t="str">
        <x:f>_xlfn.IFNA(VLOOKUP(_xlfn.CONCAT("T",N$1,"V",$D81,"A",$A81),Vulnerabilities!$G:$G,1,FALSE),"")</x:f>
      </x:c>
      <x:c r="O81" s="20" t="str">
        <x:f>_xlfn.IFNA(VLOOKUP(_xlfn.CONCAT("T",O$1,"V",$D81,"A",$A81),Vulnerabilities!$G:$G,1,FALSE),"")</x:f>
      </x:c>
      <x:c r="P81" s="16" t="str">
        <x:f>_xlfn.IFNA(VLOOKUP(_xlfn.CONCAT("T",P$1,"V",$D81,"A",$A81),Vulnerabilities!$G:$G,1,FALSE),"")</x:f>
      </x:c>
    </x:row>
    <x:row r="82">
      <x:c r="A82" s="11">
        <x:f t="shared" si="1"/>
        <x:v>20</x:v>
      </x:c>
      <x:c r="B82" s="12" t="str">
        <x:f>IF(VLOOKUP($A82,Assets!$A:$C,2,FALSE)=0,"",VLOOKUP($A82,Assets!$A:$C,2,FALSE))</x:f>
      </x:c>
      <x:c r="C82" s="12" t="str">
        <x:f>IF(VLOOKUP($A82,Assets!$A:$C,3,FALSE)=0,"",VLOOKUP($A82,Assets!$A:$C,3,FALSE))</x:f>
      </x:c>
      <x:c r="D82" s="17">
        <x:v>4</x:v>
      </x:c>
      <x:c r="E82" s="21" t="str">
        <x:f>_xlfn.IFNA(VLOOKUP(_xlfn.CONCAT("T",E$1,"V",$D82,"A",$A82),Vulnerabilities!$G:$G,1,FALSE),"")</x:f>
      </x:c>
      <x:c r="F82" s="21" t="str">
        <x:f>_xlfn.IFNA(VLOOKUP(_xlfn.CONCAT("T",F$1,"V",$D82,"A",$A82),Vulnerabilities!$G:$G,1,FALSE),"")</x:f>
      </x:c>
      <x:c r="G82" s="21" t="str">
        <x:f>_xlfn.IFNA(VLOOKUP(_xlfn.CONCAT("T",G$1,"V",$D82,"A",$A82),Vulnerabilities!$G:$G,1,FALSE),"")</x:f>
      </x:c>
      <x:c r="H82" s="21" t="str">
        <x:f>_xlfn.IFNA(VLOOKUP(_xlfn.CONCAT("T",H$1,"V",$D82,"A",$A82),Vulnerabilities!$G:$G,1,FALSE),"")</x:f>
      </x:c>
      <x:c r="I82" s="21" t="str">
        <x:f>_xlfn.IFNA(VLOOKUP(_xlfn.CONCAT("T",I$1,"V",$D82,"A",$A82),Vulnerabilities!$G:$G,1,FALSE),"")</x:f>
      </x:c>
      <x:c r="J82" s="21" t="str">
        <x:f>_xlfn.IFNA(VLOOKUP(_xlfn.CONCAT("T",J$1,"V",$D82,"A",$A82),Vulnerabilities!$G:$G,1,FALSE),"")</x:f>
      </x:c>
      <x:c r="K82" s="21" t="str">
        <x:f>_xlfn.IFNA(VLOOKUP(_xlfn.CONCAT("T",K$1,"V",$D82,"A",$A82),Vulnerabilities!$G:$G,1,FALSE),"")</x:f>
      </x:c>
      <x:c r="L82" s="21" t="str">
        <x:f>_xlfn.IFNA(VLOOKUP(_xlfn.CONCAT("T",L$1,"V",$D82,"A",$A82),Vulnerabilities!$G:$G,1,FALSE),"")</x:f>
      </x:c>
      <x:c r="M82" s="21" t="str">
        <x:f>_xlfn.IFNA(VLOOKUP(_xlfn.CONCAT("T",M$1,"V",$D82,"A",$A82),Vulnerabilities!$G:$G,1,FALSE),"")</x:f>
      </x:c>
      <x:c r="N82" s="21" t="str">
        <x:f>_xlfn.IFNA(VLOOKUP(_xlfn.CONCAT("T",N$1,"V",$D82,"A",$A82),Vulnerabilities!$G:$G,1,FALSE),"")</x:f>
      </x:c>
      <x:c r="O82" s="21" t="str">
        <x:f>_xlfn.IFNA(VLOOKUP(_xlfn.CONCAT("T",O$1,"V",$D82,"A",$A82),Vulnerabilities!$G:$G,1,FALSE),"")</x:f>
      </x:c>
      <x:c r="P82" s="17" t="str">
        <x:f>_xlfn.IFNA(VLOOKUP(_xlfn.CONCAT("T",P$1,"V",$D82,"A",$A82),Vulnerabilities!$G:$G,1,FALSE),"")</x:f>
      </x:c>
    </x:row>
    <x:row r="83">
      <x:c r="A83" s="1">
        <x:f t="shared" si="1"/>
        <x:v>21</x:v>
      </x:c>
      <x:c r="B83" t="str">
        <x:f>IF(VLOOKUP($A83,Assets!$A:$C,2,FALSE)=0,"",VLOOKUP($A83,Assets!$A:$C,2,FALSE))</x:f>
      </x:c>
      <x:c r="C83" t="str">
        <x:f>IF(VLOOKUP($A83,Assets!$A:$C,3,FALSE)=0,"",VLOOKUP($A83,Assets!$A:$C,3,FALSE))</x:f>
      </x:c>
      <x:c r="D83" s="16">
        <x:v>1</x:v>
      </x:c>
      <x:c r="E83" s="20" t="str">
        <x:f>_xlfn.IFNA(VLOOKUP(_xlfn.CONCAT("T",E$1,"V",$D83,"A",$A83),Vulnerabilities!$G:$G,1,FALSE),"")</x:f>
      </x:c>
      <x:c r="F83" s="20" t="str">
        <x:f>_xlfn.IFNA(VLOOKUP(_xlfn.CONCAT("T",F$1,"V",$D83,"A",$A83),Vulnerabilities!$G:$G,1,FALSE),"")</x:f>
      </x:c>
      <x:c r="G83" s="20" t="str">
        <x:f>_xlfn.IFNA(VLOOKUP(_xlfn.CONCAT("T",G$1,"V",$D83,"A",$A83),Vulnerabilities!$G:$G,1,FALSE),"")</x:f>
      </x:c>
      <x:c r="H83" s="20" t="str">
        <x:f>_xlfn.IFNA(VLOOKUP(_xlfn.CONCAT("T",H$1,"V",$D83,"A",$A83),Vulnerabilities!$G:$G,1,FALSE),"")</x:f>
      </x:c>
      <x:c r="I83" s="20" t="str">
        <x:f>_xlfn.IFNA(VLOOKUP(_xlfn.CONCAT("T",I$1,"V",$D83,"A",$A83),Vulnerabilities!$G:$G,1,FALSE),"")</x:f>
      </x:c>
      <x:c r="J83" s="20" t="str">
        <x:f>_xlfn.IFNA(VLOOKUP(_xlfn.CONCAT("T",J$1,"V",$D83,"A",$A83),Vulnerabilities!$G:$G,1,FALSE),"")</x:f>
      </x:c>
      <x:c r="K83" s="20" t="str">
        <x:f>_xlfn.IFNA(VLOOKUP(_xlfn.CONCAT("T",K$1,"V",$D83,"A",$A83),Vulnerabilities!$G:$G,1,FALSE),"")</x:f>
      </x:c>
      <x:c r="L83" s="20" t="str">
        <x:f>_xlfn.IFNA(VLOOKUP(_xlfn.CONCAT("T",L$1,"V",$D83,"A",$A83),Vulnerabilities!$G:$G,1,FALSE),"")</x:f>
      </x:c>
      <x:c r="M83" s="20" t="str">
        <x:f>_xlfn.IFNA(VLOOKUP(_xlfn.CONCAT("T",M$1,"V",$D83,"A",$A83),Vulnerabilities!$G:$G,1,FALSE),"")</x:f>
      </x:c>
      <x:c r="N83" s="20" t="str">
        <x:f>_xlfn.IFNA(VLOOKUP(_xlfn.CONCAT("T",N$1,"V",$D83,"A",$A83),Vulnerabilities!$G:$G,1,FALSE),"")</x:f>
      </x:c>
      <x:c r="O83" s="20" t="str">
        <x:f>_xlfn.IFNA(VLOOKUP(_xlfn.CONCAT("T",O$1,"V",$D83,"A",$A83),Vulnerabilities!$G:$G,1,FALSE),"")</x:f>
      </x:c>
      <x:c r="P83" s="16" t="str">
        <x:f>_xlfn.IFNA(VLOOKUP(_xlfn.CONCAT("T",P$1,"V",$D83,"A",$A83),Vulnerabilities!$G:$G,1,FALSE),"")</x:f>
      </x:c>
    </x:row>
    <x:row r="84">
      <x:c r="A84" s="1">
        <x:f t="shared" si="1"/>
        <x:v>21</x:v>
      </x:c>
      <x:c r="B84" t="str">
        <x:f>IF(VLOOKUP($A84,Assets!$A:$C,2,FALSE)=0,"",VLOOKUP($A84,Assets!$A:$C,2,FALSE))</x:f>
      </x:c>
      <x:c r="C84" t="str">
        <x:f>IF(VLOOKUP($A84,Assets!$A:$C,3,FALSE)=0,"",VLOOKUP($A84,Assets!$A:$C,3,FALSE))</x:f>
      </x:c>
      <x:c r="D84" s="16">
        <x:v>2</x:v>
      </x:c>
      <x:c r="E84" s="20" t="str">
        <x:f>_xlfn.IFNA(VLOOKUP(_xlfn.CONCAT("T",E$1,"V",$D84,"A",$A84),Vulnerabilities!$G:$G,1,FALSE),"")</x:f>
      </x:c>
      <x:c r="F84" s="20" t="str">
        <x:f>_xlfn.IFNA(VLOOKUP(_xlfn.CONCAT("T",F$1,"V",$D84,"A",$A84),Vulnerabilities!$G:$G,1,FALSE),"")</x:f>
      </x:c>
      <x:c r="G84" s="20" t="str">
        <x:f>_xlfn.IFNA(VLOOKUP(_xlfn.CONCAT("T",G$1,"V",$D84,"A",$A84),Vulnerabilities!$G:$G,1,FALSE),"")</x:f>
      </x:c>
      <x:c r="H84" s="20" t="str">
        <x:f>_xlfn.IFNA(VLOOKUP(_xlfn.CONCAT("T",H$1,"V",$D84,"A",$A84),Vulnerabilities!$G:$G,1,FALSE),"")</x:f>
      </x:c>
      <x:c r="I84" s="20" t="str">
        <x:f>_xlfn.IFNA(VLOOKUP(_xlfn.CONCAT("T",I$1,"V",$D84,"A",$A84),Vulnerabilities!$G:$G,1,FALSE),"")</x:f>
      </x:c>
      <x:c r="J84" s="20" t="str">
        <x:f>_xlfn.IFNA(VLOOKUP(_xlfn.CONCAT("T",J$1,"V",$D84,"A",$A84),Vulnerabilities!$G:$G,1,FALSE),"")</x:f>
      </x:c>
      <x:c r="K84" s="20" t="str">
        <x:f>_xlfn.IFNA(VLOOKUP(_xlfn.CONCAT("T",K$1,"V",$D84,"A",$A84),Vulnerabilities!$G:$G,1,FALSE),"")</x:f>
      </x:c>
      <x:c r="L84" s="20" t="str">
        <x:f>_xlfn.IFNA(VLOOKUP(_xlfn.CONCAT("T",L$1,"V",$D84,"A",$A84),Vulnerabilities!$G:$G,1,FALSE),"")</x:f>
      </x:c>
      <x:c r="M84" s="20" t="str">
        <x:f>_xlfn.IFNA(VLOOKUP(_xlfn.CONCAT("T",M$1,"V",$D84,"A",$A84),Vulnerabilities!$G:$G,1,FALSE),"")</x:f>
      </x:c>
      <x:c r="N84" s="20" t="str">
        <x:f>_xlfn.IFNA(VLOOKUP(_xlfn.CONCAT("T",N$1,"V",$D84,"A",$A84),Vulnerabilities!$G:$G,1,FALSE),"")</x:f>
      </x:c>
      <x:c r="O84" s="20" t="str">
        <x:f>_xlfn.IFNA(VLOOKUP(_xlfn.CONCAT("T",O$1,"V",$D84,"A",$A84),Vulnerabilities!$G:$G,1,FALSE),"")</x:f>
      </x:c>
      <x:c r="P84" s="16" t="str">
        <x:f>_xlfn.IFNA(VLOOKUP(_xlfn.CONCAT("T",P$1,"V",$D84,"A",$A84),Vulnerabilities!$G:$G,1,FALSE),"")</x:f>
      </x:c>
    </x:row>
    <x:row r="85">
      <x:c r="A85" s="1">
        <x:f t="shared" si="1"/>
        <x:v>21</x:v>
      </x:c>
      <x:c r="B85" t="str">
        <x:f>IF(VLOOKUP($A85,Assets!$A:$C,2,FALSE)=0,"",VLOOKUP($A85,Assets!$A:$C,2,FALSE))</x:f>
      </x:c>
      <x:c r="C85" t="str">
        <x:f>IF(VLOOKUP($A85,Assets!$A:$C,3,FALSE)=0,"",VLOOKUP($A85,Assets!$A:$C,3,FALSE))</x:f>
      </x:c>
      <x:c r="D85" s="16">
        <x:v>3</x:v>
      </x:c>
      <x:c r="E85" s="20" t="str">
        <x:f>_xlfn.IFNA(VLOOKUP(_xlfn.CONCAT("T",E$1,"V",$D85,"A",$A85),Vulnerabilities!$G:$G,1,FALSE),"")</x:f>
      </x:c>
      <x:c r="F85" s="20" t="str">
        <x:f>_xlfn.IFNA(VLOOKUP(_xlfn.CONCAT("T",F$1,"V",$D85,"A",$A85),Vulnerabilities!$G:$G,1,FALSE),"")</x:f>
      </x:c>
      <x:c r="G85" s="20" t="str">
        <x:f>_xlfn.IFNA(VLOOKUP(_xlfn.CONCAT("T",G$1,"V",$D85,"A",$A85),Vulnerabilities!$G:$G,1,FALSE),"")</x:f>
      </x:c>
      <x:c r="H85" s="20" t="str">
        <x:f>_xlfn.IFNA(VLOOKUP(_xlfn.CONCAT("T",H$1,"V",$D85,"A",$A85),Vulnerabilities!$G:$G,1,FALSE),"")</x:f>
      </x:c>
      <x:c r="I85" s="20" t="str">
        <x:f>_xlfn.IFNA(VLOOKUP(_xlfn.CONCAT("T",I$1,"V",$D85,"A",$A85),Vulnerabilities!$G:$G,1,FALSE),"")</x:f>
      </x:c>
      <x:c r="J85" s="20" t="str">
        <x:f>_xlfn.IFNA(VLOOKUP(_xlfn.CONCAT("T",J$1,"V",$D85,"A",$A85),Vulnerabilities!$G:$G,1,FALSE),"")</x:f>
      </x:c>
      <x:c r="K85" s="20" t="str">
        <x:f>_xlfn.IFNA(VLOOKUP(_xlfn.CONCAT("T",K$1,"V",$D85,"A",$A85),Vulnerabilities!$G:$G,1,FALSE),"")</x:f>
      </x:c>
      <x:c r="L85" s="20" t="str">
        <x:f>_xlfn.IFNA(VLOOKUP(_xlfn.CONCAT("T",L$1,"V",$D85,"A",$A85),Vulnerabilities!$G:$G,1,FALSE),"")</x:f>
      </x:c>
      <x:c r="M85" s="20" t="str">
        <x:f>_xlfn.IFNA(VLOOKUP(_xlfn.CONCAT("T",M$1,"V",$D85,"A",$A85),Vulnerabilities!$G:$G,1,FALSE),"")</x:f>
      </x:c>
      <x:c r="N85" s="20" t="str">
        <x:f>_xlfn.IFNA(VLOOKUP(_xlfn.CONCAT("T",N$1,"V",$D85,"A",$A85),Vulnerabilities!$G:$G,1,FALSE),"")</x:f>
      </x:c>
      <x:c r="O85" s="20" t="str">
        <x:f>_xlfn.IFNA(VLOOKUP(_xlfn.CONCAT("T",O$1,"V",$D85,"A",$A85),Vulnerabilities!$G:$G,1,FALSE),"")</x:f>
      </x:c>
      <x:c r="P85" s="16" t="str">
        <x:f>_xlfn.IFNA(VLOOKUP(_xlfn.CONCAT("T",P$1,"V",$D85,"A",$A85),Vulnerabilities!$G:$G,1,FALSE),"")</x:f>
      </x:c>
    </x:row>
    <x:row r="86">
      <x:c r="A86" s="11">
        <x:f t="shared" si="1"/>
        <x:v>21</x:v>
      </x:c>
      <x:c r="B86" s="12" t="str">
        <x:f>IF(VLOOKUP($A86,Assets!$A:$C,2,FALSE)=0,"",VLOOKUP($A86,Assets!$A:$C,2,FALSE))</x:f>
      </x:c>
      <x:c r="C86" s="12" t="str">
        <x:f>IF(VLOOKUP($A86,Assets!$A:$C,3,FALSE)=0,"",VLOOKUP($A86,Assets!$A:$C,3,FALSE))</x:f>
      </x:c>
      <x:c r="D86" s="17">
        <x:v>4</x:v>
      </x:c>
      <x:c r="E86" s="21" t="str">
        <x:f>_xlfn.IFNA(VLOOKUP(_xlfn.CONCAT("T",E$1,"V",$D86,"A",$A86),Vulnerabilities!$G:$G,1,FALSE),"")</x:f>
      </x:c>
      <x:c r="F86" s="21" t="str">
        <x:f>_xlfn.IFNA(VLOOKUP(_xlfn.CONCAT("T",F$1,"V",$D86,"A",$A86),Vulnerabilities!$G:$G,1,FALSE),"")</x:f>
      </x:c>
      <x:c r="G86" s="21" t="str">
        <x:f>_xlfn.IFNA(VLOOKUP(_xlfn.CONCAT("T",G$1,"V",$D86,"A",$A86),Vulnerabilities!$G:$G,1,FALSE),"")</x:f>
      </x:c>
      <x:c r="H86" s="21" t="str">
        <x:f>_xlfn.IFNA(VLOOKUP(_xlfn.CONCAT("T",H$1,"V",$D86,"A",$A86),Vulnerabilities!$G:$G,1,FALSE),"")</x:f>
      </x:c>
      <x:c r="I86" s="21" t="str">
        <x:f>_xlfn.IFNA(VLOOKUP(_xlfn.CONCAT("T",I$1,"V",$D86,"A",$A86),Vulnerabilities!$G:$G,1,FALSE),"")</x:f>
      </x:c>
      <x:c r="J86" s="21" t="str">
        <x:f>_xlfn.IFNA(VLOOKUP(_xlfn.CONCAT("T",J$1,"V",$D86,"A",$A86),Vulnerabilities!$G:$G,1,FALSE),"")</x:f>
      </x:c>
      <x:c r="K86" s="21" t="str">
        <x:f>_xlfn.IFNA(VLOOKUP(_xlfn.CONCAT("T",K$1,"V",$D86,"A",$A86),Vulnerabilities!$G:$G,1,FALSE),"")</x:f>
      </x:c>
      <x:c r="L86" s="21" t="str">
        <x:f>_xlfn.IFNA(VLOOKUP(_xlfn.CONCAT("T",L$1,"V",$D86,"A",$A86),Vulnerabilities!$G:$G,1,FALSE),"")</x:f>
      </x:c>
      <x:c r="M86" s="21" t="str">
        <x:f>_xlfn.IFNA(VLOOKUP(_xlfn.CONCAT("T",M$1,"V",$D86,"A",$A86),Vulnerabilities!$G:$G,1,FALSE),"")</x:f>
      </x:c>
      <x:c r="N86" s="21" t="str">
        <x:f>_xlfn.IFNA(VLOOKUP(_xlfn.CONCAT("T",N$1,"V",$D86,"A",$A86),Vulnerabilities!$G:$G,1,FALSE),"")</x:f>
      </x:c>
      <x:c r="O86" s="21" t="str">
        <x:f>_xlfn.IFNA(VLOOKUP(_xlfn.CONCAT("T",O$1,"V",$D86,"A",$A86),Vulnerabilities!$G:$G,1,FALSE),"")</x:f>
      </x:c>
      <x:c r="P86" s="17" t="str">
        <x:f>_xlfn.IFNA(VLOOKUP(_xlfn.CONCAT("T",P$1,"V",$D86,"A",$A86),Vulnerabilities!$G:$G,1,FALSE),"")</x:f>
      </x:c>
    </x:row>
    <x:row r="87">
      <x:c r="A87" s="1">
        <x:f t="shared" si="1"/>
        <x:v>22</x:v>
      </x:c>
      <x:c r="B87" t="str">
        <x:f>IF(VLOOKUP($A87,Assets!$A:$C,2,FALSE)=0,"",VLOOKUP($A87,Assets!$A:$C,2,FALSE))</x:f>
      </x:c>
      <x:c r="C87" t="str">
        <x:f>IF(VLOOKUP($A87,Assets!$A:$C,3,FALSE)=0,"",VLOOKUP($A87,Assets!$A:$C,3,FALSE))</x:f>
      </x:c>
      <x:c r="D87" s="16">
        <x:v>1</x:v>
      </x:c>
      <x:c r="E87" s="20" t="str">
        <x:f>_xlfn.IFNA(VLOOKUP(_xlfn.CONCAT("T",E$1,"V",$D87,"A",$A87),Vulnerabilities!$G:$G,1,FALSE),"")</x:f>
      </x:c>
      <x:c r="F87" s="20" t="str">
        <x:f>_xlfn.IFNA(VLOOKUP(_xlfn.CONCAT("T",F$1,"V",$D87,"A",$A87),Vulnerabilities!$G:$G,1,FALSE),"")</x:f>
      </x:c>
      <x:c r="G87" s="20" t="str">
        <x:f>_xlfn.IFNA(VLOOKUP(_xlfn.CONCAT("T",G$1,"V",$D87,"A",$A87),Vulnerabilities!$G:$G,1,FALSE),"")</x:f>
      </x:c>
      <x:c r="H87" s="20" t="str">
        <x:f>_xlfn.IFNA(VLOOKUP(_xlfn.CONCAT("T",H$1,"V",$D87,"A",$A87),Vulnerabilities!$G:$G,1,FALSE),"")</x:f>
      </x:c>
      <x:c r="I87" s="20" t="str">
        <x:f>_xlfn.IFNA(VLOOKUP(_xlfn.CONCAT("T",I$1,"V",$D87,"A",$A87),Vulnerabilities!$G:$G,1,FALSE),"")</x:f>
      </x:c>
      <x:c r="J87" s="20" t="str">
        <x:f>_xlfn.IFNA(VLOOKUP(_xlfn.CONCAT("T",J$1,"V",$D87,"A",$A87),Vulnerabilities!$G:$G,1,FALSE),"")</x:f>
      </x:c>
      <x:c r="K87" s="20" t="str">
        <x:f>_xlfn.IFNA(VLOOKUP(_xlfn.CONCAT("T",K$1,"V",$D87,"A",$A87),Vulnerabilities!$G:$G,1,FALSE),"")</x:f>
      </x:c>
      <x:c r="L87" s="20" t="str">
        <x:f>_xlfn.IFNA(VLOOKUP(_xlfn.CONCAT("T",L$1,"V",$D87,"A",$A87),Vulnerabilities!$G:$G,1,FALSE),"")</x:f>
      </x:c>
      <x:c r="M87" s="20" t="str">
        <x:f>_xlfn.IFNA(VLOOKUP(_xlfn.CONCAT("T",M$1,"V",$D87,"A",$A87),Vulnerabilities!$G:$G,1,FALSE),"")</x:f>
      </x:c>
      <x:c r="N87" s="20" t="str">
        <x:f>_xlfn.IFNA(VLOOKUP(_xlfn.CONCAT("T",N$1,"V",$D87,"A",$A87),Vulnerabilities!$G:$G,1,FALSE),"")</x:f>
      </x:c>
      <x:c r="O87" s="20" t="str">
        <x:f>_xlfn.IFNA(VLOOKUP(_xlfn.CONCAT("T",O$1,"V",$D87,"A",$A87),Vulnerabilities!$G:$G,1,FALSE),"")</x:f>
      </x:c>
      <x:c r="P87" s="16" t="str">
        <x:f>_xlfn.IFNA(VLOOKUP(_xlfn.CONCAT("T",P$1,"V",$D87,"A",$A87),Vulnerabilities!$G:$G,1,FALSE),"")</x:f>
      </x:c>
    </x:row>
    <x:row r="88">
      <x:c r="A88" s="1">
        <x:f t="shared" si="1"/>
        <x:v>22</x:v>
      </x:c>
      <x:c r="B88" t="str">
        <x:f>IF(VLOOKUP($A88,Assets!$A:$C,2,FALSE)=0,"",VLOOKUP($A88,Assets!$A:$C,2,FALSE))</x:f>
      </x:c>
      <x:c r="C88" t="str">
        <x:f>IF(VLOOKUP($A88,Assets!$A:$C,3,FALSE)=0,"",VLOOKUP($A88,Assets!$A:$C,3,FALSE))</x:f>
      </x:c>
      <x:c r="D88" s="16">
        <x:v>2</x:v>
      </x:c>
      <x:c r="E88" s="20" t="str">
        <x:f>_xlfn.IFNA(VLOOKUP(_xlfn.CONCAT("T",E$1,"V",$D88,"A",$A88),Vulnerabilities!$G:$G,1,FALSE),"")</x:f>
      </x:c>
      <x:c r="F88" s="20" t="str">
        <x:f>_xlfn.IFNA(VLOOKUP(_xlfn.CONCAT("T",F$1,"V",$D88,"A",$A88),Vulnerabilities!$G:$G,1,FALSE),"")</x:f>
      </x:c>
      <x:c r="G88" s="20" t="str">
        <x:f>_xlfn.IFNA(VLOOKUP(_xlfn.CONCAT("T",G$1,"V",$D88,"A",$A88),Vulnerabilities!$G:$G,1,FALSE),"")</x:f>
      </x:c>
      <x:c r="H88" s="20" t="str">
        <x:f>_xlfn.IFNA(VLOOKUP(_xlfn.CONCAT("T",H$1,"V",$D88,"A",$A88),Vulnerabilities!$G:$G,1,FALSE),"")</x:f>
      </x:c>
      <x:c r="I88" s="20" t="str">
        <x:f>_xlfn.IFNA(VLOOKUP(_xlfn.CONCAT("T",I$1,"V",$D88,"A",$A88),Vulnerabilities!$G:$G,1,FALSE),"")</x:f>
      </x:c>
      <x:c r="J88" s="20" t="str">
        <x:f>_xlfn.IFNA(VLOOKUP(_xlfn.CONCAT("T",J$1,"V",$D88,"A",$A88),Vulnerabilities!$G:$G,1,FALSE),"")</x:f>
      </x:c>
      <x:c r="K88" s="20" t="str">
        <x:f>_xlfn.IFNA(VLOOKUP(_xlfn.CONCAT("T",K$1,"V",$D88,"A",$A88),Vulnerabilities!$G:$G,1,FALSE),"")</x:f>
      </x:c>
      <x:c r="L88" s="20" t="str">
        <x:f>_xlfn.IFNA(VLOOKUP(_xlfn.CONCAT("T",L$1,"V",$D88,"A",$A88),Vulnerabilities!$G:$G,1,FALSE),"")</x:f>
      </x:c>
      <x:c r="M88" s="20" t="str">
        <x:f>_xlfn.IFNA(VLOOKUP(_xlfn.CONCAT("T",M$1,"V",$D88,"A",$A88),Vulnerabilities!$G:$G,1,FALSE),"")</x:f>
      </x:c>
      <x:c r="N88" s="20" t="str">
        <x:f>_xlfn.IFNA(VLOOKUP(_xlfn.CONCAT("T",N$1,"V",$D88,"A",$A88),Vulnerabilities!$G:$G,1,FALSE),"")</x:f>
      </x:c>
      <x:c r="O88" s="20" t="str">
        <x:f>_xlfn.IFNA(VLOOKUP(_xlfn.CONCAT("T",O$1,"V",$D88,"A",$A88),Vulnerabilities!$G:$G,1,FALSE),"")</x:f>
      </x:c>
      <x:c r="P88" s="16" t="str">
        <x:f>_xlfn.IFNA(VLOOKUP(_xlfn.CONCAT("T",P$1,"V",$D88,"A",$A88),Vulnerabilities!$G:$G,1,FALSE),"")</x:f>
      </x:c>
    </x:row>
    <x:row r="89">
      <x:c r="A89" s="1">
        <x:f t="shared" si="1"/>
        <x:v>22</x:v>
      </x:c>
      <x:c r="B89" t="str">
        <x:f>IF(VLOOKUP($A89,Assets!$A:$C,2,FALSE)=0,"",VLOOKUP($A89,Assets!$A:$C,2,FALSE))</x:f>
      </x:c>
      <x:c r="C89" t="str">
        <x:f>IF(VLOOKUP($A89,Assets!$A:$C,3,FALSE)=0,"",VLOOKUP($A89,Assets!$A:$C,3,FALSE))</x:f>
      </x:c>
      <x:c r="D89" s="16">
        <x:v>3</x:v>
      </x:c>
      <x:c r="E89" s="20" t="str">
        <x:f>_xlfn.IFNA(VLOOKUP(_xlfn.CONCAT("T",E$1,"V",$D89,"A",$A89),Vulnerabilities!$G:$G,1,FALSE),"")</x:f>
      </x:c>
      <x:c r="F89" s="20" t="str">
        <x:f>_xlfn.IFNA(VLOOKUP(_xlfn.CONCAT("T",F$1,"V",$D89,"A",$A89),Vulnerabilities!$G:$G,1,FALSE),"")</x:f>
      </x:c>
      <x:c r="G89" s="20" t="str">
        <x:f>_xlfn.IFNA(VLOOKUP(_xlfn.CONCAT("T",G$1,"V",$D89,"A",$A89),Vulnerabilities!$G:$G,1,FALSE),"")</x:f>
      </x:c>
      <x:c r="H89" s="20" t="str">
        <x:f>_xlfn.IFNA(VLOOKUP(_xlfn.CONCAT("T",H$1,"V",$D89,"A",$A89),Vulnerabilities!$G:$G,1,FALSE),"")</x:f>
      </x:c>
      <x:c r="I89" s="20" t="str">
        <x:f>_xlfn.IFNA(VLOOKUP(_xlfn.CONCAT("T",I$1,"V",$D89,"A",$A89),Vulnerabilities!$G:$G,1,FALSE),"")</x:f>
      </x:c>
      <x:c r="J89" s="20" t="str">
        <x:f>_xlfn.IFNA(VLOOKUP(_xlfn.CONCAT("T",J$1,"V",$D89,"A",$A89),Vulnerabilities!$G:$G,1,FALSE),"")</x:f>
      </x:c>
      <x:c r="K89" s="20" t="str">
        <x:f>_xlfn.IFNA(VLOOKUP(_xlfn.CONCAT("T",K$1,"V",$D89,"A",$A89),Vulnerabilities!$G:$G,1,FALSE),"")</x:f>
      </x:c>
      <x:c r="L89" s="20" t="str">
        <x:f>_xlfn.IFNA(VLOOKUP(_xlfn.CONCAT("T",L$1,"V",$D89,"A",$A89),Vulnerabilities!$G:$G,1,FALSE),"")</x:f>
      </x:c>
      <x:c r="M89" s="20" t="str">
        <x:f>_xlfn.IFNA(VLOOKUP(_xlfn.CONCAT("T",M$1,"V",$D89,"A",$A89),Vulnerabilities!$G:$G,1,FALSE),"")</x:f>
      </x:c>
      <x:c r="N89" s="20" t="str">
        <x:f>_xlfn.IFNA(VLOOKUP(_xlfn.CONCAT("T",N$1,"V",$D89,"A",$A89),Vulnerabilities!$G:$G,1,FALSE),"")</x:f>
      </x:c>
      <x:c r="O89" s="20" t="str">
        <x:f>_xlfn.IFNA(VLOOKUP(_xlfn.CONCAT("T",O$1,"V",$D89,"A",$A89),Vulnerabilities!$G:$G,1,FALSE),"")</x:f>
      </x:c>
      <x:c r="P89" s="16" t="str">
        <x:f>_xlfn.IFNA(VLOOKUP(_xlfn.CONCAT("T",P$1,"V",$D89,"A",$A89),Vulnerabilities!$G:$G,1,FALSE),"")</x:f>
      </x:c>
    </x:row>
    <x:row r="90">
      <x:c r="A90" s="11">
        <x:f t="shared" si="1"/>
        <x:v>22</x:v>
      </x:c>
      <x:c r="B90" s="12" t="str">
        <x:f>IF(VLOOKUP($A90,Assets!$A:$C,2,FALSE)=0,"",VLOOKUP($A90,Assets!$A:$C,2,FALSE))</x:f>
      </x:c>
      <x:c r="C90" s="12" t="str">
        <x:f>IF(VLOOKUP($A90,Assets!$A:$C,3,FALSE)=0,"",VLOOKUP($A90,Assets!$A:$C,3,FALSE))</x:f>
      </x:c>
      <x:c r="D90" s="17">
        <x:v>4</x:v>
      </x:c>
      <x:c r="E90" s="21" t="str">
        <x:f>_xlfn.IFNA(VLOOKUP(_xlfn.CONCAT("T",E$1,"V",$D90,"A",$A90),Vulnerabilities!$G:$G,1,FALSE),"")</x:f>
      </x:c>
      <x:c r="F90" s="21" t="str">
        <x:f>_xlfn.IFNA(VLOOKUP(_xlfn.CONCAT("T",F$1,"V",$D90,"A",$A90),Vulnerabilities!$G:$G,1,FALSE),"")</x:f>
      </x:c>
      <x:c r="G90" s="21" t="str">
        <x:f>_xlfn.IFNA(VLOOKUP(_xlfn.CONCAT("T",G$1,"V",$D90,"A",$A90),Vulnerabilities!$G:$G,1,FALSE),"")</x:f>
      </x:c>
      <x:c r="H90" s="21" t="str">
        <x:f>_xlfn.IFNA(VLOOKUP(_xlfn.CONCAT("T",H$1,"V",$D90,"A",$A90),Vulnerabilities!$G:$G,1,FALSE),"")</x:f>
      </x:c>
      <x:c r="I90" s="21" t="str">
        <x:f>_xlfn.IFNA(VLOOKUP(_xlfn.CONCAT("T",I$1,"V",$D90,"A",$A90),Vulnerabilities!$G:$G,1,FALSE),"")</x:f>
      </x:c>
      <x:c r="J90" s="21" t="str">
        <x:f>_xlfn.IFNA(VLOOKUP(_xlfn.CONCAT("T",J$1,"V",$D90,"A",$A90),Vulnerabilities!$G:$G,1,FALSE),"")</x:f>
      </x:c>
      <x:c r="K90" s="21" t="str">
        <x:f>_xlfn.IFNA(VLOOKUP(_xlfn.CONCAT("T",K$1,"V",$D90,"A",$A90),Vulnerabilities!$G:$G,1,FALSE),"")</x:f>
      </x:c>
      <x:c r="L90" s="21" t="str">
        <x:f>_xlfn.IFNA(VLOOKUP(_xlfn.CONCAT("T",L$1,"V",$D90,"A",$A90),Vulnerabilities!$G:$G,1,FALSE),"")</x:f>
      </x:c>
      <x:c r="M90" s="21" t="str">
        <x:f>_xlfn.IFNA(VLOOKUP(_xlfn.CONCAT("T",M$1,"V",$D90,"A",$A90),Vulnerabilities!$G:$G,1,FALSE),"")</x:f>
      </x:c>
      <x:c r="N90" s="21" t="str">
        <x:f>_xlfn.IFNA(VLOOKUP(_xlfn.CONCAT("T",N$1,"V",$D90,"A",$A90),Vulnerabilities!$G:$G,1,FALSE),"")</x:f>
      </x:c>
      <x:c r="O90" s="21" t="str">
        <x:f>_xlfn.IFNA(VLOOKUP(_xlfn.CONCAT("T",O$1,"V",$D90,"A",$A90),Vulnerabilities!$G:$G,1,FALSE),"")</x:f>
      </x:c>
      <x:c r="P90" s="17" t="str">
        <x:f>_xlfn.IFNA(VLOOKUP(_xlfn.CONCAT("T",P$1,"V",$D90,"A",$A90),Vulnerabilities!$G:$G,1,FALSE),"")</x:f>
      </x:c>
    </x:row>
    <x:row r="91">
      <x:c r="A91" s="1" t="n">
        <x:f t="shared" ref="A91:A154" si="2">A87+1</x:f>
        <x:v>23</x:v>
      </x:c>
      <x:c r="B91" t="str">
        <x:f>IF(VLOOKUP($A91,Assets!$A:$C,2,FALSE)=0,"",VLOOKUP($A91,Assets!$A:$C,2,FALSE))</x:f>
      </x:c>
      <x:c r="C91" t="str">
        <x:f>IF(VLOOKUP($A91,Assets!$A:$C,3,FALSE)=0,"",VLOOKUP($A91,Assets!$A:$C,3,FALSE))</x:f>
      </x:c>
      <x:c r="D91" s="16">
        <x:v>1</x:v>
      </x:c>
      <x:c r="E91" s="20" t="str">
        <x:f>_xlfn.IFNA(VLOOKUP(_xlfn.CONCAT("T",E$1,"V",$D91,"A",$A91),Vulnerabilities!$G:$G,1,FALSE),"")</x:f>
      </x:c>
      <x:c r="F91" s="20" t="str">
        <x:f>_xlfn.IFNA(VLOOKUP(_xlfn.CONCAT("T",F$1,"V",$D91,"A",$A91),Vulnerabilities!$G:$G,1,FALSE),"")</x:f>
      </x:c>
      <x:c r="G91" s="20" t="str">
        <x:f>_xlfn.IFNA(VLOOKUP(_xlfn.CONCAT("T",G$1,"V",$D91,"A",$A91),Vulnerabilities!$G:$G,1,FALSE),"")</x:f>
      </x:c>
      <x:c r="H91" s="20" t="str">
        <x:f>_xlfn.IFNA(VLOOKUP(_xlfn.CONCAT("T",H$1,"V",$D91,"A",$A91),Vulnerabilities!$G:$G,1,FALSE),"")</x:f>
      </x:c>
      <x:c r="I91" s="20" t="str">
        <x:f>_xlfn.IFNA(VLOOKUP(_xlfn.CONCAT("T",I$1,"V",$D91,"A",$A91),Vulnerabilities!$G:$G,1,FALSE),"")</x:f>
      </x:c>
      <x:c r="J91" s="20" t="str">
        <x:f>_xlfn.IFNA(VLOOKUP(_xlfn.CONCAT("T",J$1,"V",$D91,"A",$A91),Vulnerabilities!$G:$G,1,FALSE),"")</x:f>
      </x:c>
      <x:c r="K91" s="20" t="str">
        <x:f>_xlfn.IFNA(VLOOKUP(_xlfn.CONCAT("T",K$1,"V",$D91,"A",$A91),Vulnerabilities!$G:$G,1,FALSE),"")</x:f>
      </x:c>
      <x:c r="L91" s="20" t="str">
        <x:f>_xlfn.IFNA(VLOOKUP(_xlfn.CONCAT("T",L$1,"V",$D91,"A",$A91),Vulnerabilities!$G:$G,1,FALSE),"")</x:f>
      </x:c>
      <x:c r="M91" s="20" t="str">
        <x:f>_xlfn.IFNA(VLOOKUP(_xlfn.CONCAT("T",M$1,"V",$D91,"A",$A91),Vulnerabilities!$G:$G,1,FALSE),"")</x:f>
      </x:c>
      <x:c r="N91" s="20" t="str">
        <x:f>_xlfn.IFNA(VLOOKUP(_xlfn.CONCAT("T",N$1,"V",$D91,"A",$A91),Vulnerabilities!$G:$G,1,FALSE),"")</x:f>
      </x:c>
      <x:c r="O91" s="20" t="str">
        <x:f>_xlfn.IFNA(VLOOKUP(_xlfn.CONCAT("T",O$1,"V",$D91,"A",$A91),Vulnerabilities!$G:$G,1,FALSE),"")</x:f>
      </x:c>
      <x:c r="P91" s="16" t="str">
        <x:f>_xlfn.IFNA(VLOOKUP(_xlfn.CONCAT("T",P$1,"V",$D91,"A",$A91),Vulnerabilities!$G:$G,1,FALSE),"")</x:f>
      </x:c>
    </x:row>
    <x:row r="92">
      <x:c r="A92" s="1">
        <x:f t="shared" si="2"/>
        <x:v>23</x:v>
      </x:c>
      <x:c r="B92" t="str">
        <x:f>IF(VLOOKUP($A92,Assets!$A:$C,2,FALSE)=0,"",VLOOKUP($A92,Assets!$A:$C,2,FALSE))</x:f>
      </x:c>
      <x:c r="C92" t="str">
        <x:f>IF(VLOOKUP($A92,Assets!$A:$C,3,FALSE)=0,"",VLOOKUP($A92,Assets!$A:$C,3,FALSE))</x:f>
      </x:c>
      <x:c r="D92" s="16">
        <x:v>2</x:v>
      </x:c>
      <x:c r="E92" s="20" t="str">
        <x:f>_xlfn.IFNA(VLOOKUP(_xlfn.CONCAT("T",E$1,"V",$D92,"A",$A92),Vulnerabilities!$G:$G,1,FALSE),"")</x:f>
      </x:c>
      <x:c r="F92" s="20" t="str">
        <x:f>_xlfn.IFNA(VLOOKUP(_xlfn.CONCAT("T",F$1,"V",$D92,"A",$A92),Vulnerabilities!$G:$G,1,FALSE),"")</x:f>
      </x:c>
      <x:c r="G92" s="20" t="str">
        <x:f>_xlfn.IFNA(VLOOKUP(_xlfn.CONCAT("T",G$1,"V",$D92,"A",$A92),Vulnerabilities!$G:$G,1,FALSE),"")</x:f>
      </x:c>
      <x:c r="H92" s="20" t="str">
        <x:f>_xlfn.IFNA(VLOOKUP(_xlfn.CONCAT("T",H$1,"V",$D92,"A",$A92),Vulnerabilities!$G:$G,1,FALSE),"")</x:f>
      </x:c>
      <x:c r="I92" s="20" t="str">
        <x:f>_xlfn.IFNA(VLOOKUP(_xlfn.CONCAT("T",I$1,"V",$D92,"A",$A92),Vulnerabilities!$G:$G,1,FALSE),"")</x:f>
      </x:c>
      <x:c r="J92" s="20" t="str">
        <x:f>_xlfn.IFNA(VLOOKUP(_xlfn.CONCAT("T",J$1,"V",$D92,"A",$A92),Vulnerabilities!$G:$G,1,FALSE),"")</x:f>
      </x:c>
      <x:c r="K92" s="20" t="str">
        <x:f>_xlfn.IFNA(VLOOKUP(_xlfn.CONCAT("T",K$1,"V",$D92,"A",$A92),Vulnerabilities!$G:$G,1,FALSE),"")</x:f>
      </x:c>
      <x:c r="L92" s="20" t="str">
        <x:f>_xlfn.IFNA(VLOOKUP(_xlfn.CONCAT("T",L$1,"V",$D92,"A",$A92),Vulnerabilities!$G:$G,1,FALSE),"")</x:f>
      </x:c>
      <x:c r="M92" s="20" t="str">
        <x:f>_xlfn.IFNA(VLOOKUP(_xlfn.CONCAT("T",M$1,"V",$D92,"A",$A92),Vulnerabilities!$G:$G,1,FALSE),"")</x:f>
      </x:c>
      <x:c r="N92" s="20" t="str">
        <x:f>_xlfn.IFNA(VLOOKUP(_xlfn.CONCAT("T",N$1,"V",$D92,"A",$A92),Vulnerabilities!$G:$G,1,FALSE),"")</x:f>
      </x:c>
      <x:c r="O92" s="20" t="str">
        <x:f>_xlfn.IFNA(VLOOKUP(_xlfn.CONCAT("T",O$1,"V",$D92,"A",$A92),Vulnerabilities!$G:$G,1,FALSE),"")</x:f>
      </x:c>
      <x:c r="P92" s="16" t="str">
        <x:f>_xlfn.IFNA(VLOOKUP(_xlfn.CONCAT("T",P$1,"V",$D92,"A",$A92),Vulnerabilities!$G:$G,1,FALSE),"")</x:f>
      </x:c>
    </x:row>
    <x:row r="93">
      <x:c r="A93" s="1">
        <x:f t="shared" si="2"/>
        <x:v>23</x:v>
      </x:c>
      <x:c r="B93" t="str">
        <x:f>IF(VLOOKUP($A93,Assets!$A:$C,2,FALSE)=0,"",VLOOKUP($A93,Assets!$A:$C,2,FALSE))</x:f>
      </x:c>
      <x:c r="C93" t="str">
        <x:f>IF(VLOOKUP($A93,Assets!$A:$C,3,FALSE)=0,"",VLOOKUP($A93,Assets!$A:$C,3,FALSE))</x:f>
      </x:c>
      <x:c r="D93" s="16">
        <x:v>3</x:v>
      </x:c>
      <x:c r="E93" s="20" t="str">
        <x:f>_xlfn.IFNA(VLOOKUP(_xlfn.CONCAT("T",E$1,"V",$D93,"A",$A93),Vulnerabilities!$G:$G,1,FALSE),"")</x:f>
      </x:c>
      <x:c r="F93" s="20" t="str">
        <x:f>_xlfn.IFNA(VLOOKUP(_xlfn.CONCAT("T",F$1,"V",$D93,"A",$A93),Vulnerabilities!$G:$G,1,FALSE),"")</x:f>
      </x:c>
      <x:c r="G93" s="20" t="str">
        <x:f>_xlfn.IFNA(VLOOKUP(_xlfn.CONCAT("T",G$1,"V",$D93,"A",$A93),Vulnerabilities!$G:$G,1,FALSE),"")</x:f>
      </x:c>
      <x:c r="H93" s="20" t="str">
        <x:f>_xlfn.IFNA(VLOOKUP(_xlfn.CONCAT("T",H$1,"V",$D93,"A",$A93),Vulnerabilities!$G:$G,1,FALSE),"")</x:f>
      </x:c>
      <x:c r="I93" s="20" t="str">
        <x:f>_xlfn.IFNA(VLOOKUP(_xlfn.CONCAT("T",I$1,"V",$D93,"A",$A93),Vulnerabilities!$G:$G,1,FALSE),"")</x:f>
      </x:c>
      <x:c r="J93" s="20" t="str">
        <x:f>_xlfn.IFNA(VLOOKUP(_xlfn.CONCAT("T",J$1,"V",$D93,"A",$A93),Vulnerabilities!$G:$G,1,FALSE),"")</x:f>
      </x:c>
      <x:c r="K93" s="20" t="str">
        <x:f>_xlfn.IFNA(VLOOKUP(_xlfn.CONCAT("T",K$1,"V",$D93,"A",$A93),Vulnerabilities!$G:$G,1,FALSE),"")</x:f>
      </x:c>
      <x:c r="L93" s="20" t="str">
        <x:f>_xlfn.IFNA(VLOOKUP(_xlfn.CONCAT("T",L$1,"V",$D93,"A",$A93),Vulnerabilities!$G:$G,1,FALSE),"")</x:f>
      </x:c>
      <x:c r="M93" s="20" t="str">
        <x:f>_xlfn.IFNA(VLOOKUP(_xlfn.CONCAT("T",M$1,"V",$D93,"A",$A93),Vulnerabilities!$G:$G,1,FALSE),"")</x:f>
      </x:c>
      <x:c r="N93" s="20" t="str">
        <x:f>_xlfn.IFNA(VLOOKUP(_xlfn.CONCAT("T",N$1,"V",$D93,"A",$A93),Vulnerabilities!$G:$G,1,FALSE),"")</x:f>
      </x:c>
      <x:c r="O93" s="20" t="str">
        <x:f>_xlfn.IFNA(VLOOKUP(_xlfn.CONCAT("T",O$1,"V",$D93,"A",$A93),Vulnerabilities!$G:$G,1,FALSE),"")</x:f>
      </x:c>
      <x:c r="P93" s="16" t="str">
        <x:f>_xlfn.IFNA(VLOOKUP(_xlfn.CONCAT("T",P$1,"V",$D93,"A",$A93),Vulnerabilities!$G:$G,1,FALSE),"")</x:f>
      </x:c>
    </x:row>
    <x:row r="94">
      <x:c r="A94" s="11">
        <x:f t="shared" si="2"/>
        <x:v>23</x:v>
      </x:c>
      <x:c r="B94" s="12" t="str">
        <x:f>IF(VLOOKUP($A94,Assets!$A:$C,2,FALSE)=0,"",VLOOKUP($A94,Assets!$A:$C,2,FALSE))</x:f>
      </x:c>
      <x:c r="C94" s="12" t="str">
        <x:f>IF(VLOOKUP($A94,Assets!$A:$C,3,FALSE)=0,"",VLOOKUP($A94,Assets!$A:$C,3,FALSE))</x:f>
      </x:c>
      <x:c r="D94" s="17">
        <x:v>4</x:v>
      </x:c>
      <x:c r="E94" s="21" t="str">
        <x:f>_xlfn.IFNA(VLOOKUP(_xlfn.CONCAT("T",E$1,"V",$D94,"A",$A94),Vulnerabilities!$G:$G,1,FALSE),"")</x:f>
      </x:c>
      <x:c r="F94" s="21" t="str">
        <x:f>_xlfn.IFNA(VLOOKUP(_xlfn.CONCAT("T",F$1,"V",$D94,"A",$A94),Vulnerabilities!$G:$G,1,FALSE),"")</x:f>
      </x:c>
      <x:c r="G94" s="21" t="str">
        <x:f>_xlfn.IFNA(VLOOKUP(_xlfn.CONCAT("T",G$1,"V",$D94,"A",$A94),Vulnerabilities!$G:$G,1,FALSE),"")</x:f>
      </x:c>
      <x:c r="H94" s="21" t="str">
        <x:f>_xlfn.IFNA(VLOOKUP(_xlfn.CONCAT("T",H$1,"V",$D94,"A",$A94),Vulnerabilities!$G:$G,1,FALSE),"")</x:f>
      </x:c>
      <x:c r="I94" s="21" t="str">
        <x:f>_xlfn.IFNA(VLOOKUP(_xlfn.CONCAT("T",I$1,"V",$D94,"A",$A94),Vulnerabilities!$G:$G,1,FALSE),"")</x:f>
      </x:c>
      <x:c r="J94" s="21" t="str">
        <x:f>_xlfn.IFNA(VLOOKUP(_xlfn.CONCAT("T",J$1,"V",$D94,"A",$A94),Vulnerabilities!$G:$G,1,FALSE),"")</x:f>
      </x:c>
      <x:c r="K94" s="21" t="str">
        <x:f>_xlfn.IFNA(VLOOKUP(_xlfn.CONCAT("T",K$1,"V",$D94,"A",$A94),Vulnerabilities!$G:$G,1,FALSE),"")</x:f>
      </x:c>
      <x:c r="L94" s="21" t="str">
        <x:f>_xlfn.IFNA(VLOOKUP(_xlfn.CONCAT("T",L$1,"V",$D94,"A",$A94),Vulnerabilities!$G:$G,1,FALSE),"")</x:f>
      </x:c>
      <x:c r="M94" s="21" t="str">
        <x:f>_xlfn.IFNA(VLOOKUP(_xlfn.CONCAT("T",M$1,"V",$D94,"A",$A94),Vulnerabilities!$G:$G,1,FALSE),"")</x:f>
      </x:c>
      <x:c r="N94" s="21" t="str">
        <x:f>_xlfn.IFNA(VLOOKUP(_xlfn.CONCAT("T",N$1,"V",$D94,"A",$A94),Vulnerabilities!$G:$G,1,FALSE),"")</x:f>
      </x:c>
      <x:c r="O94" s="21" t="str">
        <x:f>_xlfn.IFNA(VLOOKUP(_xlfn.CONCAT("T",O$1,"V",$D94,"A",$A94),Vulnerabilities!$G:$G,1,FALSE),"")</x:f>
      </x:c>
      <x:c r="P94" s="17" t="str">
        <x:f>_xlfn.IFNA(VLOOKUP(_xlfn.CONCAT("T",P$1,"V",$D94,"A",$A94),Vulnerabilities!$G:$G,1,FALSE),"")</x:f>
      </x:c>
    </x:row>
    <x:row r="95">
      <x:c r="A95" s="1">
        <x:f t="shared" si="2"/>
        <x:v>24</x:v>
      </x:c>
      <x:c r="B95" t="str">
        <x:f>IF(VLOOKUP($A95,Assets!$A:$C,2,FALSE)=0,"",VLOOKUP($A95,Assets!$A:$C,2,FALSE))</x:f>
      </x:c>
      <x:c r="C95" t="str">
        <x:f>IF(VLOOKUP($A95,Assets!$A:$C,3,FALSE)=0,"",VLOOKUP($A95,Assets!$A:$C,3,FALSE))</x:f>
      </x:c>
      <x:c r="D95" s="16">
        <x:v>1</x:v>
      </x:c>
      <x:c r="E95" s="20" t="str">
        <x:f>_xlfn.IFNA(VLOOKUP(_xlfn.CONCAT("T",E$1,"V",$D95,"A",$A95),Vulnerabilities!$G:$G,1,FALSE),"")</x:f>
      </x:c>
      <x:c r="F95" s="20" t="str">
        <x:f>_xlfn.IFNA(VLOOKUP(_xlfn.CONCAT("T",F$1,"V",$D95,"A",$A95),Vulnerabilities!$G:$G,1,FALSE),"")</x:f>
      </x:c>
      <x:c r="G95" s="20" t="str">
        <x:f>_xlfn.IFNA(VLOOKUP(_xlfn.CONCAT("T",G$1,"V",$D95,"A",$A95),Vulnerabilities!$G:$G,1,FALSE),"")</x:f>
      </x:c>
      <x:c r="H95" s="20" t="str">
        <x:f>_xlfn.IFNA(VLOOKUP(_xlfn.CONCAT("T",H$1,"V",$D95,"A",$A95),Vulnerabilities!$G:$G,1,FALSE),"")</x:f>
      </x:c>
      <x:c r="I95" s="20" t="str">
        <x:f>_xlfn.IFNA(VLOOKUP(_xlfn.CONCAT("T",I$1,"V",$D95,"A",$A95),Vulnerabilities!$G:$G,1,FALSE),"")</x:f>
      </x:c>
      <x:c r="J95" s="20" t="str">
        <x:f>_xlfn.IFNA(VLOOKUP(_xlfn.CONCAT("T",J$1,"V",$D95,"A",$A95),Vulnerabilities!$G:$G,1,FALSE),"")</x:f>
      </x:c>
      <x:c r="K95" s="20" t="str">
        <x:f>_xlfn.IFNA(VLOOKUP(_xlfn.CONCAT("T",K$1,"V",$D95,"A",$A95),Vulnerabilities!$G:$G,1,FALSE),"")</x:f>
      </x:c>
      <x:c r="L95" s="20" t="str">
        <x:f>_xlfn.IFNA(VLOOKUP(_xlfn.CONCAT("T",L$1,"V",$D95,"A",$A95),Vulnerabilities!$G:$G,1,FALSE),"")</x:f>
      </x:c>
      <x:c r="M95" s="20" t="str">
        <x:f>_xlfn.IFNA(VLOOKUP(_xlfn.CONCAT("T",M$1,"V",$D95,"A",$A95),Vulnerabilities!$G:$G,1,FALSE),"")</x:f>
      </x:c>
      <x:c r="N95" s="20" t="str">
        <x:f>_xlfn.IFNA(VLOOKUP(_xlfn.CONCAT("T",N$1,"V",$D95,"A",$A95),Vulnerabilities!$G:$G,1,FALSE),"")</x:f>
      </x:c>
      <x:c r="O95" s="20" t="str">
        <x:f>_xlfn.IFNA(VLOOKUP(_xlfn.CONCAT("T",O$1,"V",$D95,"A",$A95),Vulnerabilities!$G:$G,1,FALSE),"")</x:f>
      </x:c>
      <x:c r="P95" s="16" t="str">
        <x:f>_xlfn.IFNA(VLOOKUP(_xlfn.CONCAT("T",P$1,"V",$D95,"A",$A95),Vulnerabilities!$G:$G,1,FALSE),"")</x:f>
      </x:c>
    </x:row>
    <x:row r="96">
      <x:c r="A96" s="1">
        <x:f t="shared" si="2"/>
        <x:v>24</x:v>
      </x:c>
      <x:c r="B96" t="str">
        <x:f>IF(VLOOKUP($A96,Assets!$A:$C,2,FALSE)=0,"",VLOOKUP($A96,Assets!$A:$C,2,FALSE))</x:f>
      </x:c>
      <x:c r="C96" t="str">
        <x:f>IF(VLOOKUP($A96,Assets!$A:$C,3,FALSE)=0,"",VLOOKUP($A96,Assets!$A:$C,3,FALSE))</x:f>
      </x:c>
      <x:c r="D96" s="16">
        <x:v>2</x:v>
      </x:c>
      <x:c r="E96" s="20" t="str">
        <x:f>_xlfn.IFNA(VLOOKUP(_xlfn.CONCAT("T",E$1,"V",$D96,"A",$A96),Vulnerabilities!$G:$G,1,FALSE),"")</x:f>
      </x:c>
      <x:c r="F96" s="20" t="str">
        <x:f>_xlfn.IFNA(VLOOKUP(_xlfn.CONCAT("T",F$1,"V",$D96,"A",$A96),Vulnerabilities!$G:$G,1,FALSE),"")</x:f>
      </x:c>
      <x:c r="G96" s="20" t="str">
        <x:f>_xlfn.IFNA(VLOOKUP(_xlfn.CONCAT("T",G$1,"V",$D96,"A",$A96),Vulnerabilities!$G:$G,1,FALSE),"")</x:f>
      </x:c>
      <x:c r="H96" s="20" t="str">
        <x:f>_xlfn.IFNA(VLOOKUP(_xlfn.CONCAT("T",H$1,"V",$D96,"A",$A96),Vulnerabilities!$G:$G,1,FALSE),"")</x:f>
      </x:c>
      <x:c r="I96" s="20" t="str">
        <x:f>_xlfn.IFNA(VLOOKUP(_xlfn.CONCAT("T",I$1,"V",$D96,"A",$A96),Vulnerabilities!$G:$G,1,FALSE),"")</x:f>
      </x:c>
      <x:c r="J96" s="20" t="str">
        <x:f>_xlfn.IFNA(VLOOKUP(_xlfn.CONCAT("T",J$1,"V",$D96,"A",$A96),Vulnerabilities!$G:$G,1,FALSE),"")</x:f>
      </x:c>
      <x:c r="K96" s="20" t="str">
        <x:f>_xlfn.IFNA(VLOOKUP(_xlfn.CONCAT("T",K$1,"V",$D96,"A",$A96),Vulnerabilities!$G:$G,1,FALSE),"")</x:f>
      </x:c>
      <x:c r="L96" s="20" t="str">
        <x:f>_xlfn.IFNA(VLOOKUP(_xlfn.CONCAT("T",L$1,"V",$D96,"A",$A96),Vulnerabilities!$G:$G,1,FALSE),"")</x:f>
      </x:c>
      <x:c r="M96" s="20" t="str">
        <x:f>_xlfn.IFNA(VLOOKUP(_xlfn.CONCAT("T",M$1,"V",$D96,"A",$A96),Vulnerabilities!$G:$G,1,FALSE),"")</x:f>
      </x:c>
      <x:c r="N96" s="20" t="str">
        <x:f>_xlfn.IFNA(VLOOKUP(_xlfn.CONCAT("T",N$1,"V",$D96,"A",$A96),Vulnerabilities!$G:$G,1,FALSE),"")</x:f>
      </x:c>
      <x:c r="O96" s="20" t="str">
        <x:f>_xlfn.IFNA(VLOOKUP(_xlfn.CONCAT("T",O$1,"V",$D96,"A",$A96),Vulnerabilities!$G:$G,1,FALSE),"")</x:f>
      </x:c>
      <x:c r="P96" s="16" t="str">
        <x:f>_xlfn.IFNA(VLOOKUP(_xlfn.CONCAT("T",P$1,"V",$D96,"A",$A96),Vulnerabilities!$G:$G,1,FALSE),"")</x:f>
      </x:c>
    </x:row>
    <x:row r="97">
      <x:c r="A97" s="1">
        <x:f t="shared" si="2"/>
        <x:v>24</x:v>
      </x:c>
      <x:c r="B97" t="str">
        <x:f>IF(VLOOKUP($A97,Assets!$A:$C,2,FALSE)=0,"",VLOOKUP($A97,Assets!$A:$C,2,FALSE))</x:f>
      </x:c>
      <x:c r="C97" t="str">
        <x:f>IF(VLOOKUP($A97,Assets!$A:$C,3,FALSE)=0,"",VLOOKUP($A97,Assets!$A:$C,3,FALSE))</x:f>
      </x:c>
      <x:c r="D97" s="16">
        <x:v>3</x:v>
      </x:c>
      <x:c r="E97" s="20" t="str">
        <x:f>_xlfn.IFNA(VLOOKUP(_xlfn.CONCAT("T",E$1,"V",$D97,"A",$A97),Vulnerabilities!$G:$G,1,FALSE),"")</x:f>
      </x:c>
      <x:c r="F97" s="20" t="str">
        <x:f>_xlfn.IFNA(VLOOKUP(_xlfn.CONCAT("T",F$1,"V",$D97,"A",$A97),Vulnerabilities!$G:$G,1,FALSE),"")</x:f>
      </x:c>
      <x:c r="G97" s="20" t="str">
        <x:f>_xlfn.IFNA(VLOOKUP(_xlfn.CONCAT("T",G$1,"V",$D97,"A",$A97),Vulnerabilities!$G:$G,1,FALSE),"")</x:f>
      </x:c>
      <x:c r="H97" s="20" t="str">
        <x:f>_xlfn.IFNA(VLOOKUP(_xlfn.CONCAT("T",H$1,"V",$D97,"A",$A97),Vulnerabilities!$G:$G,1,FALSE),"")</x:f>
      </x:c>
      <x:c r="I97" s="20" t="str">
        <x:f>_xlfn.IFNA(VLOOKUP(_xlfn.CONCAT("T",I$1,"V",$D97,"A",$A97),Vulnerabilities!$G:$G,1,FALSE),"")</x:f>
      </x:c>
      <x:c r="J97" s="20" t="str">
        <x:f>_xlfn.IFNA(VLOOKUP(_xlfn.CONCAT("T",J$1,"V",$D97,"A",$A97),Vulnerabilities!$G:$G,1,FALSE),"")</x:f>
      </x:c>
      <x:c r="K97" s="20" t="str">
        <x:f>_xlfn.IFNA(VLOOKUP(_xlfn.CONCAT("T",K$1,"V",$D97,"A",$A97),Vulnerabilities!$G:$G,1,FALSE),"")</x:f>
      </x:c>
      <x:c r="L97" s="20" t="str">
        <x:f>_xlfn.IFNA(VLOOKUP(_xlfn.CONCAT("T",L$1,"V",$D97,"A",$A97),Vulnerabilities!$G:$G,1,FALSE),"")</x:f>
      </x:c>
      <x:c r="M97" s="20" t="str">
        <x:f>_xlfn.IFNA(VLOOKUP(_xlfn.CONCAT("T",M$1,"V",$D97,"A",$A97),Vulnerabilities!$G:$G,1,FALSE),"")</x:f>
      </x:c>
      <x:c r="N97" s="20" t="str">
        <x:f>_xlfn.IFNA(VLOOKUP(_xlfn.CONCAT("T",N$1,"V",$D97,"A",$A97),Vulnerabilities!$G:$G,1,FALSE),"")</x:f>
      </x:c>
      <x:c r="O97" s="20" t="str">
        <x:f>_xlfn.IFNA(VLOOKUP(_xlfn.CONCAT("T",O$1,"V",$D97,"A",$A97),Vulnerabilities!$G:$G,1,FALSE),"")</x:f>
      </x:c>
      <x:c r="P97" s="16" t="str">
        <x:f>_xlfn.IFNA(VLOOKUP(_xlfn.CONCAT("T",P$1,"V",$D97,"A",$A97),Vulnerabilities!$G:$G,1,FALSE),"")</x:f>
      </x:c>
    </x:row>
    <x:row r="98">
      <x:c r="A98" s="11">
        <x:f t="shared" si="2"/>
        <x:v>24</x:v>
      </x:c>
      <x:c r="B98" s="12" t="str">
        <x:f>IF(VLOOKUP($A98,Assets!$A:$C,2,FALSE)=0,"",VLOOKUP($A98,Assets!$A:$C,2,FALSE))</x:f>
      </x:c>
      <x:c r="C98" s="12" t="str">
        <x:f>IF(VLOOKUP($A98,Assets!$A:$C,3,FALSE)=0,"",VLOOKUP($A98,Assets!$A:$C,3,FALSE))</x:f>
      </x:c>
      <x:c r="D98" s="17">
        <x:v>4</x:v>
      </x:c>
      <x:c r="E98" s="21" t="str">
        <x:f>_xlfn.IFNA(VLOOKUP(_xlfn.CONCAT("T",E$1,"V",$D98,"A",$A98),Vulnerabilities!$G:$G,1,FALSE),"")</x:f>
      </x:c>
      <x:c r="F98" s="21" t="str">
        <x:f>_xlfn.IFNA(VLOOKUP(_xlfn.CONCAT("T",F$1,"V",$D98,"A",$A98),Vulnerabilities!$G:$G,1,FALSE),"")</x:f>
      </x:c>
      <x:c r="G98" s="21" t="str">
        <x:f>_xlfn.IFNA(VLOOKUP(_xlfn.CONCAT("T",G$1,"V",$D98,"A",$A98),Vulnerabilities!$G:$G,1,FALSE),"")</x:f>
      </x:c>
      <x:c r="H98" s="21" t="str">
        <x:f>_xlfn.IFNA(VLOOKUP(_xlfn.CONCAT("T",H$1,"V",$D98,"A",$A98),Vulnerabilities!$G:$G,1,FALSE),"")</x:f>
      </x:c>
      <x:c r="I98" s="21" t="str">
        <x:f>_xlfn.IFNA(VLOOKUP(_xlfn.CONCAT("T",I$1,"V",$D98,"A",$A98),Vulnerabilities!$G:$G,1,FALSE),"")</x:f>
      </x:c>
      <x:c r="J98" s="21" t="str">
        <x:f>_xlfn.IFNA(VLOOKUP(_xlfn.CONCAT("T",J$1,"V",$D98,"A",$A98),Vulnerabilities!$G:$G,1,FALSE),"")</x:f>
      </x:c>
      <x:c r="K98" s="21" t="str">
        <x:f>_xlfn.IFNA(VLOOKUP(_xlfn.CONCAT("T",K$1,"V",$D98,"A",$A98),Vulnerabilities!$G:$G,1,FALSE),"")</x:f>
      </x:c>
      <x:c r="L98" s="21" t="str">
        <x:f>_xlfn.IFNA(VLOOKUP(_xlfn.CONCAT("T",L$1,"V",$D98,"A",$A98),Vulnerabilities!$G:$G,1,FALSE),"")</x:f>
      </x:c>
      <x:c r="M98" s="21" t="str">
        <x:f>_xlfn.IFNA(VLOOKUP(_xlfn.CONCAT("T",M$1,"V",$D98,"A",$A98),Vulnerabilities!$G:$G,1,FALSE),"")</x:f>
      </x:c>
      <x:c r="N98" s="21" t="str">
        <x:f>_xlfn.IFNA(VLOOKUP(_xlfn.CONCAT("T",N$1,"V",$D98,"A",$A98),Vulnerabilities!$G:$G,1,FALSE),"")</x:f>
      </x:c>
      <x:c r="O98" s="21" t="str">
        <x:f>_xlfn.IFNA(VLOOKUP(_xlfn.CONCAT("T",O$1,"V",$D98,"A",$A98),Vulnerabilities!$G:$G,1,FALSE),"")</x:f>
      </x:c>
      <x:c r="P98" s="17" t="str">
        <x:f>_xlfn.IFNA(VLOOKUP(_xlfn.CONCAT("T",P$1,"V",$D98,"A",$A98),Vulnerabilities!$G:$G,1,FALSE),"")</x:f>
      </x:c>
    </x:row>
    <x:row r="99">
      <x:c r="A99" s="1">
        <x:f t="shared" si="2"/>
        <x:v>25</x:v>
      </x:c>
      <x:c r="B99" t="str">
        <x:f>IF(VLOOKUP($A99,Assets!$A:$C,2,FALSE)=0,"",VLOOKUP($A99,Assets!$A:$C,2,FALSE))</x:f>
      </x:c>
      <x:c r="C99" t="str">
        <x:f>IF(VLOOKUP($A99,Assets!$A:$C,3,FALSE)=0,"",VLOOKUP($A99,Assets!$A:$C,3,FALSE))</x:f>
      </x:c>
      <x:c r="D99" s="16">
        <x:v>1</x:v>
      </x:c>
      <x:c r="E99" s="20" t="str">
        <x:f>_xlfn.IFNA(VLOOKUP(_xlfn.CONCAT("T",E$1,"V",$D99,"A",$A99),Vulnerabilities!$G:$G,1,FALSE),"")</x:f>
      </x:c>
      <x:c r="F99" s="20" t="str">
        <x:f>_xlfn.IFNA(VLOOKUP(_xlfn.CONCAT("T",F$1,"V",$D99,"A",$A99),Vulnerabilities!$G:$G,1,FALSE),"")</x:f>
      </x:c>
      <x:c r="G99" s="20" t="str">
        <x:f>_xlfn.IFNA(VLOOKUP(_xlfn.CONCAT("T",G$1,"V",$D99,"A",$A99),Vulnerabilities!$G:$G,1,FALSE),"")</x:f>
      </x:c>
      <x:c r="H99" s="20" t="str">
        <x:f>_xlfn.IFNA(VLOOKUP(_xlfn.CONCAT("T",H$1,"V",$D99,"A",$A99),Vulnerabilities!$G:$G,1,FALSE),"")</x:f>
      </x:c>
      <x:c r="I99" s="20" t="str">
        <x:f>_xlfn.IFNA(VLOOKUP(_xlfn.CONCAT("T",I$1,"V",$D99,"A",$A99),Vulnerabilities!$G:$G,1,FALSE),"")</x:f>
      </x:c>
      <x:c r="J99" s="20" t="str">
        <x:f>_xlfn.IFNA(VLOOKUP(_xlfn.CONCAT("T",J$1,"V",$D99,"A",$A99),Vulnerabilities!$G:$G,1,FALSE),"")</x:f>
      </x:c>
      <x:c r="K99" s="20" t="str">
        <x:f>_xlfn.IFNA(VLOOKUP(_xlfn.CONCAT("T",K$1,"V",$D99,"A",$A99),Vulnerabilities!$G:$G,1,FALSE),"")</x:f>
      </x:c>
      <x:c r="L99" s="20" t="str">
        <x:f>_xlfn.IFNA(VLOOKUP(_xlfn.CONCAT("T",L$1,"V",$D99,"A",$A99),Vulnerabilities!$G:$G,1,FALSE),"")</x:f>
      </x:c>
      <x:c r="M99" s="20" t="str">
        <x:f>_xlfn.IFNA(VLOOKUP(_xlfn.CONCAT("T",M$1,"V",$D99,"A",$A99),Vulnerabilities!$G:$G,1,FALSE),"")</x:f>
      </x:c>
      <x:c r="N99" s="20" t="str">
        <x:f>_xlfn.IFNA(VLOOKUP(_xlfn.CONCAT("T",N$1,"V",$D99,"A",$A99),Vulnerabilities!$G:$G,1,FALSE),"")</x:f>
      </x:c>
      <x:c r="O99" s="20" t="str">
        <x:f>_xlfn.IFNA(VLOOKUP(_xlfn.CONCAT("T",O$1,"V",$D99,"A",$A99),Vulnerabilities!$G:$G,1,FALSE),"")</x:f>
      </x:c>
      <x:c r="P99" s="16" t="str">
        <x:f>_xlfn.IFNA(VLOOKUP(_xlfn.CONCAT("T",P$1,"V",$D99,"A",$A99),Vulnerabilities!$G:$G,1,FALSE),"")</x:f>
      </x:c>
    </x:row>
    <x:row r="100">
      <x:c r="A100" s="1">
        <x:f t="shared" si="2"/>
        <x:v>25</x:v>
      </x:c>
      <x:c r="B100" t="str">
        <x:f>IF(VLOOKUP($A100,Assets!$A:$C,2,FALSE)=0,"",VLOOKUP($A100,Assets!$A:$C,2,FALSE))</x:f>
      </x:c>
      <x:c r="C100" t="str">
        <x:f>IF(VLOOKUP($A100,Assets!$A:$C,3,FALSE)=0,"",VLOOKUP($A100,Assets!$A:$C,3,FALSE))</x:f>
      </x:c>
      <x:c r="D100" s="16">
        <x:v>2</x:v>
      </x:c>
      <x:c r="E100" s="20" t="str">
        <x:f>_xlfn.IFNA(VLOOKUP(_xlfn.CONCAT("T",E$1,"V",$D100,"A",$A100),Vulnerabilities!$G:$G,1,FALSE),"")</x:f>
      </x:c>
      <x:c r="F100" s="20" t="str">
        <x:f>_xlfn.IFNA(VLOOKUP(_xlfn.CONCAT("T",F$1,"V",$D100,"A",$A100),Vulnerabilities!$G:$G,1,FALSE),"")</x:f>
      </x:c>
      <x:c r="G100" s="20" t="str">
        <x:f>_xlfn.IFNA(VLOOKUP(_xlfn.CONCAT("T",G$1,"V",$D100,"A",$A100),Vulnerabilities!$G:$G,1,FALSE),"")</x:f>
      </x:c>
      <x:c r="H100" s="20" t="str">
        <x:f>_xlfn.IFNA(VLOOKUP(_xlfn.CONCAT("T",H$1,"V",$D100,"A",$A100),Vulnerabilities!$G:$G,1,FALSE),"")</x:f>
      </x:c>
      <x:c r="I100" s="20" t="str">
        <x:f>_xlfn.IFNA(VLOOKUP(_xlfn.CONCAT("T",I$1,"V",$D100,"A",$A100),Vulnerabilities!$G:$G,1,FALSE),"")</x:f>
      </x:c>
      <x:c r="J100" s="20" t="str">
        <x:f>_xlfn.IFNA(VLOOKUP(_xlfn.CONCAT("T",J$1,"V",$D100,"A",$A100),Vulnerabilities!$G:$G,1,FALSE),"")</x:f>
      </x:c>
      <x:c r="K100" s="20" t="str">
        <x:f>_xlfn.IFNA(VLOOKUP(_xlfn.CONCAT("T",K$1,"V",$D100,"A",$A100),Vulnerabilities!$G:$G,1,FALSE),"")</x:f>
      </x:c>
      <x:c r="L100" s="20" t="str">
        <x:f>_xlfn.IFNA(VLOOKUP(_xlfn.CONCAT("T",L$1,"V",$D100,"A",$A100),Vulnerabilities!$G:$G,1,FALSE),"")</x:f>
      </x:c>
      <x:c r="M100" s="20" t="str">
        <x:f>_xlfn.IFNA(VLOOKUP(_xlfn.CONCAT("T",M$1,"V",$D100,"A",$A100),Vulnerabilities!$G:$G,1,FALSE),"")</x:f>
      </x:c>
      <x:c r="N100" s="20" t="str">
        <x:f>_xlfn.IFNA(VLOOKUP(_xlfn.CONCAT("T",N$1,"V",$D100,"A",$A100),Vulnerabilities!$G:$G,1,FALSE),"")</x:f>
      </x:c>
      <x:c r="O100" s="20" t="str">
        <x:f>_xlfn.IFNA(VLOOKUP(_xlfn.CONCAT("T",O$1,"V",$D100,"A",$A100),Vulnerabilities!$G:$G,1,FALSE),"")</x:f>
      </x:c>
      <x:c r="P100" s="16" t="str">
        <x:f>_xlfn.IFNA(VLOOKUP(_xlfn.CONCAT("T",P$1,"V",$D100,"A",$A100),Vulnerabilities!$G:$G,1,FALSE),"")</x:f>
      </x:c>
    </x:row>
    <x:row r="101">
      <x:c r="A101" s="1">
        <x:f t="shared" si="2"/>
        <x:v>25</x:v>
      </x:c>
      <x:c r="B101" t="str">
        <x:f>IF(VLOOKUP($A101,Assets!$A:$C,2,FALSE)=0,"",VLOOKUP($A101,Assets!$A:$C,2,FALSE))</x:f>
      </x:c>
      <x:c r="C101" t="str">
        <x:f>IF(VLOOKUP($A101,Assets!$A:$C,3,FALSE)=0,"",VLOOKUP($A101,Assets!$A:$C,3,FALSE))</x:f>
      </x:c>
      <x:c r="D101" s="16">
        <x:v>3</x:v>
      </x:c>
      <x:c r="E101" s="20" t="str">
        <x:f>_xlfn.IFNA(VLOOKUP(_xlfn.CONCAT("T",E$1,"V",$D101,"A",$A101),Vulnerabilities!$G:$G,1,FALSE),"")</x:f>
      </x:c>
      <x:c r="F101" s="20" t="str">
        <x:f>_xlfn.IFNA(VLOOKUP(_xlfn.CONCAT("T",F$1,"V",$D101,"A",$A101),Vulnerabilities!$G:$G,1,FALSE),"")</x:f>
      </x:c>
      <x:c r="G101" s="20" t="str">
        <x:f>_xlfn.IFNA(VLOOKUP(_xlfn.CONCAT("T",G$1,"V",$D101,"A",$A101),Vulnerabilities!$G:$G,1,FALSE),"")</x:f>
      </x:c>
      <x:c r="H101" s="20" t="str">
        <x:f>_xlfn.IFNA(VLOOKUP(_xlfn.CONCAT("T",H$1,"V",$D101,"A",$A101),Vulnerabilities!$G:$G,1,FALSE),"")</x:f>
      </x:c>
      <x:c r="I101" s="20" t="str">
        <x:f>_xlfn.IFNA(VLOOKUP(_xlfn.CONCAT("T",I$1,"V",$D101,"A",$A101),Vulnerabilities!$G:$G,1,FALSE),"")</x:f>
      </x:c>
      <x:c r="J101" s="20" t="str">
        <x:f>_xlfn.IFNA(VLOOKUP(_xlfn.CONCAT("T",J$1,"V",$D101,"A",$A101),Vulnerabilities!$G:$G,1,FALSE),"")</x:f>
      </x:c>
      <x:c r="K101" s="20" t="str">
        <x:f>_xlfn.IFNA(VLOOKUP(_xlfn.CONCAT("T",K$1,"V",$D101,"A",$A101),Vulnerabilities!$G:$G,1,FALSE),"")</x:f>
      </x:c>
      <x:c r="L101" s="20" t="str">
        <x:f>_xlfn.IFNA(VLOOKUP(_xlfn.CONCAT("T",L$1,"V",$D101,"A",$A101),Vulnerabilities!$G:$G,1,FALSE),"")</x:f>
      </x:c>
      <x:c r="M101" s="20" t="str">
        <x:f>_xlfn.IFNA(VLOOKUP(_xlfn.CONCAT("T",M$1,"V",$D101,"A",$A101),Vulnerabilities!$G:$G,1,FALSE),"")</x:f>
      </x:c>
      <x:c r="N101" s="20" t="str">
        <x:f>_xlfn.IFNA(VLOOKUP(_xlfn.CONCAT("T",N$1,"V",$D101,"A",$A101),Vulnerabilities!$G:$G,1,FALSE),"")</x:f>
      </x:c>
      <x:c r="O101" s="20" t="str">
        <x:f>_xlfn.IFNA(VLOOKUP(_xlfn.CONCAT("T",O$1,"V",$D101,"A",$A101),Vulnerabilities!$G:$G,1,FALSE),"")</x:f>
      </x:c>
      <x:c r="P101" s="16" t="str">
        <x:f>_xlfn.IFNA(VLOOKUP(_xlfn.CONCAT("T",P$1,"V",$D101,"A",$A101),Vulnerabilities!$G:$G,1,FALSE),"")</x:f>
      </x:c>
    </x:row>
    <x:row r="102">
      <x:c r="A102" s="11">
        <x:f t="shared" si="2"/>
        <x:v>25</x:v>
      </x:c>
      <x:c r="B102" s="12" t="str">
        <x:f>IF(VLOOKUP($A102,Assets!$A:$C,2,FALSE)=0,"",VLOOKUP($A102,Assets!$A:$C,2,FALSE))</x:f>
      </x:c>
      <x:c r="C102" s="12" t="str">
        <x:f>IF(VLOOKUP($A102,Assets!$A:$C,3,FALSE)=0,"",VLOOKUP($A102,Assets!$A:$C,3,FALSE))</x:f>
      </x:c>
      <x:c r="D102" s="17">
        <x:v>4</x:v>
      </x:c>
      <x:c r="E102" s="21" t="str">
        <x:f>_xlfn.IFNA(VLOOKUP(_xlfn.CONCAT("T",E$1,"V",$D102,"A",$A102),Vulnerabilities!$G:$G,1,FALSE),"")</x:f>
      </x:c>
      <x:c r="F102" s="21" t="str">
        <x:f>_xlfn.IFNA(VLOOKUP(_xlfn.CONCAT("T",F$1,"V",$D102,"A",$A102),Vulnerabilities!$G:$G,1,FALSE),"")</x:f>
      </x:c>
      <x:c r="G102" s="21" t="str">
        <x:f>_xlfn.IFNA(VLOOKUP(_xlfn.CONCAT("T",G$1,"V",$D102,"A",$A102),Vulnerabilities!$G:$G,1,FALSE),"")</x:f>
      </x:c>
      <x:c r="H102" s="21" t="str">
        <x:f>_xlfn.IFNA(VLOOKUP(_xlfn.CONCAT("T",H$1,"V",$D102,"A",$A102),Vulnerabilities!$G:$G,1,FALSE),"")</x:f>
      </x:c>
      <x:c r="I102" s="21" t="str">
        <x:f>_xlfn.IFNA(VLOOKUP(_xlfn.CONCAT("T",I$1,"V",$D102,"A",$A102),Vulnerabilities!$G:$G,1,FALSE),"")</x:f>
      </x:c>
      <x:c r="J102" s="21" t="str">
        <x:f>_xlfn.IFNA(VLOOKUP(_xlfn.CONCAT("T",J$1,"V",$D102,"A",$A102),Vulnerabilities!$G:$G,1,FALSE),"")</x:f>
      </x:c>
      <x:c r="K102" s="21" t="str">
        <x:f>_xlfn.IFNA(VLOOKUP(_xlfn.CONCAT("T",K$1,"V",$D102,"A",$A102),Vulnerabilities!$G:$G,1,FALSE),"")</x:f>
      </x:c>
      <x:c r="L102" s="21" t="str">
        <x:f>_xlfn.IFNA(VLOOKUP(_xlfn.CONCAT("T",L$1,"V",$D102,"A",$A102),Vulnerabilities!$G:$G,1,FALSE),"")</x:f>
      </x:c>
      <x:c r="M102" s="21" t="str">
        <x:f>_xlfn.IFNA(VLOOKUP(_xlfn.CONCAT("T",M$1,"V",$D102,"A",$A102),Vulnerabilities!$G:$G,1,FALSE),"")</x:f>
      </x:c>
      <x:c r="N102" s="21" t="str">
        <x:f>_xlfn.IFNA(VLOOKUP(_xlfn.CONCAT("T",N$1,"V",$D102,"A",$A102),Vulnerabilities!$G:$G,1,FALSE),"")</x:f>
      </x:c>
      <x:c r="O102" s="21" t="str">
        <x:f>_xlfn.IFNA(VLOOKUP(_xlfn.CONCAT("T",O$1,"V",$D102,"A",$A102),Vulnerabilities!$G:$G,1,FALSE),"")</x:f>
      </x:c>
      <x:c r="P102" s="17" t="str">
        <x:f>_xlfn.IFNA(VLOOKUP(_xlfn.CONCAT("T",P$1,"V",$D102,"A",$A102),Vulnerabilities!$G:$G,1,FALSE),"")</x:f>
      </x:c>
    </x:row>
    <x:row r="103">
      <x:c r="A103" s="1">
        <x:f t="shared" si="2"/>
        <x:v>26</x:v>
      </x:c>
      <x:c r="B103" t="str">
        <x:f>IF(VLOOKUP($A103,Assets!$A:$C,2,FALSE)=0,"",VLOOKUP($A103,Assets!$A:$C,2,FALSE))</x:f>
      </x:c>
      <x:c r="C103" t="str">
        <x:f>IF(VLOOKUP($A103,Assets!$A:$C,3,FALSE)=0,"",VLOOKUP($A103,Assets!$A:$C,3,FALSE))</x:f>
      </x:c>
      <x:c r="D103" s="16">
        <x:v>1</x:v>
      </x:c>
      <x:c r="E103" s="20" t="str">
        <x:f>_xlfn.IFNA(VLOOKUP(_xlfn.CONCAT("T",E$1,"V",$D103,"A",$A103),Vulnerabilities!$G:$G,1,FALSE),"")</x:f>
      </x:c>
      <x:c r="F103" s="20" t="str">
        <x:f>_xlfn.IFNA(VLOOKUP(_xlfn.CONCAT("T",F$1,"V",$D103,"A",$A103),Vulnerabilities!$G:$G,1,FALSE),"")</x:f>
      </x:c>
      <x:c r="G103" s="20" t="str">
        <x:f>_xlfn.IFNA(VLOOKUP(_xlfn.CONCAT("T",G$1,"V",$D103,"A",$A103),Vulnerabilities!$G:$G,1,FALSE),"")</x:f>
      </x:c>
      <x:c r="H103" s="20" t="str">
        <x:f>_xlfn.IFNA(VLOOKUP(_xlfn.CONCAT("T",H$1,"V",$D103,"A",$A103),Vulnerabilities!$G:$G,1,FALSE),"")</x:f>
      </x:c>
      <x:c r="I103" s="20" t="str">
        <x:f>_xlfn.IFNA(VLOOKUP(_xlfn.CONCAT("T",I$1,"V",$D103,"A",$A103),Vulnerabilities!$G:$G,1,FALSE),"")</x:f>
      </x:c>
      <x:c r="J103" s="20" t="str">
        <x:f>_xlfn.IFNA(VLOOKUP(_xlfn.CONCAT("T",J$1,"V",$D103,"A",$A103),Vulnerabilities!$G:$G,1,FALSE),"")</x:f>
      </x:c>
      <x:c r="K103" s="20" t="str">
        <x:f>_xlfn.IFNA(VLOOKUP(_xlfn.CONCAT("T",K$1,"V",$D103,"A",$A103),Vulnerabilities!$G:$G,1,FALSE),"")</x:f>
      </x:c>
      <x:c r="L103" s="20" t="str">
        <x:f>_xlfn.IFNA(VLOOKUP(_xlfn.CONCAT("T",L$1,"V",$D103,"A",$A103),Vulnerabilities!$G:$G,1,FALSE),"")</x:f>
      </x:c>
      <x:c r="M103" s="20" t="str">
        <x:f>_xlfn.IFNA(VLOOKUP(_xlfn.CONCAT("T",M$1,"V",$D103,"A",$A103),Vulnerabilities!$G:$G,1,FALSE),"")</x:f>
      </x:c>
      <x:c r="N103" s="20" t="str">
        <x:f>_xlfn.IFNA(VLOOKUP(_xlfn.CONCAT("T",N$1,"V",$D103,"A",$A103),Vulnerabilities!$G:$G,1,FALSE),"")</x:f>
      </x:c>
      <x:c r="O103" s="20" t="str">
        <x:f>_xlfn.IFNA(VLOOKUP(_xlfn.CONCAT("T",O$1,"V",$D103,"A",$A103),Vulnerabilities!$G:$G,1,FALSE),"")</x:f>
      </x:c>
      <x:c r="P103" s="16" t="str">
        <x:f>_xlfn.IFNA(VLOOKUP(_xlfn.CONCAT("T",P$1,"V",$D103,"A",$A103),Vulnerabilities!$G:$G,1,FALSE),"")</x:f>
      </x:c>
    </x:row>
    <x:row r="104">
      <x:c r="A104" s="1">
        <x:f t="shared" si="2"/>
        <x:v>26</x:v>
      </x:c>
      <x:c r="B104" t="str">
        <x:f>IF(VLOOKUP($A104,Assets!$A:$C,2,FALSE)=0,"",VLOOKUP($A104,Assets!$A:$C,2,FALSE))</x:f>
      </x:c>
      <x:c r="C104" t="str">
        <x:f>IF(VLOOKUP($A104,Assets!$A:$C,3,FALSE)=0,"",VLOOKUP($A104,Assets!$A:$C,3,FALSE))</x:f>
      </x:c>
      <x:c r="D104" s="16">
        <x:v>2</x:v>
      </x:c>
      <x:c r="E104" s="20" t="str">
        <x:f>_xlfn.IFNA(VLOOKUP(_xlfn.CONCAT("T",E$1,"V",$D104,"A",$A104),Vulnerabilities!$G:$G,1,FALSE),"")</x:f>
      </x:c>
      <x:c r="F104" s="20" t="str">
        <x:f>_xlfn.IFNA(VLOOKUP(_xlfn.CONCAT("T",F$1,"V",$D104,"A",$A104),Vulnerabilities!$G:$G,1,FALSE),"")</x:f>
      </x:c>
      <x:c r="G104" s="20" t="str">
        <x:f>_xlfn.IFNA(VLOOKUP(_xlfn.CONCAT("T",G$1,"V",$D104,"A",$A104),Vulnerabilities!$G:$G,1,FALSE),"")</x:f>
      </x:c>
      <x:c r="H104" s="20" t="str">
        <x:f>_xlfn.IFNA(VLOOKUP(_xlfn.CONCAT("T",H$1,"V",$D104,"A",$A104),Vulnerabilities!$G:$G,1,FALSE),"")</x:f>
      </x:c>
      <x:c r="I104" s="20" t="str">
        <x:f>_xlfn.IFNA(VLOOKUP(_xlfn.CONCAT("T",I$1,"V",$D104,"A",$A104),Vulnerabilities!$G:$G,1,FALSE),"")</x:f>
      </x:c>
      <x:c r="J104" s="20" t="str">
        <x:f>_xlfn.IFNA(VLOOKUP(_xlfn.CONCAT("T",J$1,"V",$D104,"A",$A104),Vulnerabilities!$G:$G,1,FALSE),"")</x:f>
      </x:c>
      <x:c r="K104" s="20" t="str">
        <x:f>_xlfn.IFNA(VLOOKUP(_xlfn.CONCAT("T",K$1,"V",$D104,"A",$A104),Vulnerabilities!$G:$G,1,FALSE),"")</x:f>
      </x:c>
      <x:c r="L104" s="20" t="str">
        <x:f>_xlfn.IFNA(VLOOKUP(_xlfn.CONCAT("T",L$1,"V",$D104,"A",$A104),Vulnerabilities!$G:$G,1,FALSE),"")</x:f>
      </x:c>
      <x:c r="M104" s="20" t="str">
        <x:f>_xlfn.IFNA(VLOOKUP(_xlfn.CONCAT("T",M$1,"V",$D104,"A",$A104),Vulnerabilities!$G:$G,1,FALSE),"")</x:f>
      </x:c>
      <x:c r="N104" s="20" t="str">
        <x:f>_xlfn.IFNA(VLOOKUP(_xlfn.CONCAT("T",N$1,"V",$D104,"A",$A104),Vulnerabilities!$G:$G,1,FALSE),"")</x:f>
      </x:c>
      <x:c r="O104" s="20" t="str">
        <x:f>_xlfn.IFNA(VLOOKUP(_xlfn.CONCAT("T",O$1,"V",$D104,"A",$A104),Vulnerabilities!$G:$G,1,FALSE),"")</x:f>
      </x:c>
      <x:c r="P104" s="16" t="str">
        <x:f>_xlfn.IFNA(VLOOKUP(_xlfn.CONCAT("T",P$1,"V",$D104,"A",$A104),Vulnerabilities!$G:$G,1,FALSE),"")</x:f>
      </x:c>
    </x:row>
    <x:row r="105">
      <x:c r="A105" s="1">
        <x:f t="shared" si="2"/>
        <x:v>26</x:v>
      </x:c>
      <x:c r="B105" t="str">
        <x:f>IF(VLOOKUP($A105,Assets!$A:$C,2,FALSE)=0,"",VLOOKUP($A105,Assets!$A:$C,2,FALSE))</x:f>
      </x:c>
      <x:c r="C105" t="str">
        <x:f>IF(VLOOKUP($A105,Assets!$A:$C,3,FALSE)=0,"",VLOOKUP($A105,Assets!$A:$C,3,FALSE))</x:f>
      </x:c>
      <x:c r="D105" s="16">
        <x:v>3</x:v>
      </x:c>
      <x:c r="E105" s="20" t="str">
        <x:f>_xlfn.IFNA(VLOOKUP(_xlfn.CONCAT("T",E$1,"V",$D105,"A",$A105),Vulnerabilities!$G:$G,1,FALSE),"")</x:f>
      </x:c>
      <x:c r="F105" s="20" t="str">
        <x:f>_xlfn.IFNA(VLOOKUP(_xlfn.CONCAT("T",F$1,"V",$D105,"A",$A105),Vulnerabilities!$G:$G,1,FALSE),"")</x:f>
      </x:c>
      <x:c r="G105" s="20" t="str">
        <x:f>_xlfn.IFNA(VLOOKUP(_xlfn.CONCAT("T",G$1,"V",$D105,"A",$A105),Vulnerabilities!$G:$G,1,FALSE),"")</x:f>
      </x:c>
      <x:c r="H105" s="20" t="str">
        <x:f>_xlfn.IFNA(VLOOKUP(_xlfn.CONCAT("T",H$1,"V",$D105,"A",$A105),Vulnerabilities!$G:$G,1,FALSE),"")</x:f>
      </x:c>
      <x:c r="I105" s="20" t="str">
        <x:f>_xlfn.IFNA(VLOOKUP(_xlfn.CONCAT("T",I$1,"V",$D105,"A",$A105),Vulnerabilities!$G:$G,1,FALSE),"")</x:f>
      </x:c>
      <x:c r="J105" s="20" t="str">
        <x:f>_xlfn.IFNA(VLOOKUP(_xlfn.CONCAT("T",J$1,"V",$D105,"A",$A105),Vulnerabilities!$G:$G,1,FALSE),"")</x:f>
      </x:c>
      <x:c r="K105" s="20" t="str">
        <x:f>_xlfn.IFNA(VLOOKUP(_xlfn.CONCAT("T",K$1,"V",$D105,"A",$A105),Vulnerabilities!$G:$G,1,FALSE),"")</x:f>
      </x:c>
      <x:c r="L105" s="20" t="str">
        <x:f>_xlfn.IFNA(VLOOKUP(_xlfn.CONCAT("T",L$1,"V",$D105,"A",$A105),Vulnerabilities!$G:$G,1,FALSE),"")</x:f>
      </x:c>
      <x:c r="M105" s="20" t="str">
        <x:f>_xlfn.IFNA(VLOOKUP(_xlfn.CONCAT("T",M$1,"V",$D105,"A",$A105),Vulnerabilities!$G:$G,1,FALSE),"")</x:f>
      </x:c>
      <x:c r="N105" s="20" t="str">
        <x:f>_xlfn.IFNA(VLOOKUP(_xlfn.CONCAT("T",N$1,"V",$D105,"A",$A105),Vulnerabilities!$G:$G,1,FALSE),"")</x:f>
      </x:c>
      <x:c r="O105" s="20" t="str">
        <x:f>_xlfn.IFNA(VLOOKUP(_xlfn.CONCAT("T",O$1,"V",$D105,"A",$A105),Vulnerabilities!$G:$G,1,FALSE),"")</x:f>
      </x:c>
      <x:c r="P105" s="16" t="str">
        <x:f>_xlfn.IFNA(VLOOKUP(_xlfn.CONCAT("T",P$1,"V",$D105,"A",$A105),Vulnerabilities!$G:$G,1,FALSE),"")</x:f>
      </x:c>
    </x:row>
    <x:row r="106">
      <x:c r="A106" s="11">
        <x:f t="shared" si="2"/>
        <x:v>26</x:v>
      </x:c>
      <x:c r="B106" s="12" t="str">
        <x:f>IF(VLOOKUP($A106,Assets!$A:$C,2,FALSE)=0,"",VLOOKUP($A106,Assets!$A:$C,2,FALSE))</x:f>
      </x:c>
      <x:c r="C106" s="12" t="str">
        <x:f>IF(VLOOKUP($A106,Assets!$A:$C,3,FALSE)=0,"",VLOOKUP($A106,Assets!$A:$C,3,FALSE))</x:f>
      </x:c>
      <x:c r="D106" s="17">
        <x:v>4</x:v>
      </x:c>
      <x:c r="E106" s="21" t="str">
        <x:f>_xlfn.IFNA(VLOOKUP(_xlfn.CONCAT("T",E$1,"V",$D106,"A",$A106),Vulnerabilities!$G:$G,1,FALSE),"")</x:f>
      </x:c>
      <x:c r="F106" s="21" t="str">
        <x:f>_xlfn.IFNA(VLOOKUP(_xlfn.CONCAT("T",F$1,"V",$D106,"A",$A106),Vulnerabilities!$G:$G,1,FALSE),"")</x:f>
      </x:c>
      <x:c r="G106" s="21" t="str">
        <x:f>_xlfn.IFNA(VLOOKUP(_xlfn.CONCAT("T",G$1,"V",$D106,"A",$A106),Vulnerabilities!$G:$G,1,FALSE),"")</x:f>
      </x:c>
      <x:c r="H106" s="21" t="str">
        <x:f>_xlfn.IFNA(VLOOKUP(_xlfn.CONCAT("T",H$1,"V",$D106,"A",$A106),Vulnerabilities!$G:$G,1,FALSE),"")</x:f>
      </x:c>
      <x:c r="I106" s="21" t="str">
        <x:f>_xlfn.IFNA(VLOOKUP(_xlfn.CONCAT("T",I$1,"V",$D106,"A",$A106),Vulnerabilities!$G:$G,1,FALSE),"")</x:f>
      </x:c>
      <x:c r="J106" s="21" t="str">
        <x:f>_xlfn.IFNA(VLOOKUP(_xlfn.CONCAT("T",J$1,"V",$D106,"A",$A106),Vulnerabilities!$G:$G,1,FALSE),"")</x:f>
      </x:c>
      <x:c r="K106" s="21" t="str">
        <x:f>_xlfn.IFNA(VLOOKUP(_xlfn.CONCAT("T",K$1,"V",$D106,"A",$A106),Vulnerabilities!$G:$G,1,FALSE),"")</x:f>
      </x:c>
      <x:c r="L106" s="21" t="str">
        <x:f>_xlfn.IFNA(VLOOKUP(_xlfn.CONCAT("T",L$1,"V",$D106,"A",$A106),Vulnerabilities!$G:$G,1,FALSE),"")</x:f>
      </x:c>
      <x:c r="M106" s="21" t="str">
        <x:f>_xlfn.IFNA(VLOOKUP(_xlfn.CONCAT("T",M$1,"V",$D106,"A",$A106),Vulnerabilities!$G:$G,1,FALSE),"")</x:f>
      </x:c>
      <x:c r="N106" s="21" t="str">
        <x:f>_xlfn.IFNA(VLOOKUP(_xlfn.CONCAT("T",N$1,"V",$D106,"A",$A106),Vulnerabilities!$G:$G,1,FALSE),"")</x:f>
      </x:c>
      <x:c r="O106" s="21" t="str">
        <x:f>_xlfn.IFNA(VLOOKUP(_xlfn.CONCAT("T",O$1,"V",$D106,"A",$A106),Vulnerabilities!$G:$G,1,FALSE),"")</x:f>
      </x:c>
      <x:c r="P106" s="17" t="str">
        <x:f>_xlfn.IFNA(VLOOKUP(_xlfn.CONCAT("T",P$1,"V",$D106,"A",$A106),Vulnerabilities!$G:$G,1,FALSE),"")</x:f>
      </x:c>
    </x:row>
    <x:row r="107">
      <x:c r="A107" s="1">
        <x:f t="shared" si="2"/>
        <x:v>27</x:v>
      </x:c>
      <x:c r="B107" t="str">
        <x:f>IF(VLOOKUP($A107,Assets!$A:$C,2,FALSE)=0,"",VLOOKUP($A107,Assets!$A:$C,2,FALSE))</x:f>
      </x:c>
      <x:c r="C107" t="str">
        <x:f>IF(VLOOKUP($A107,Assets!$A:$C,3,FALSE)=0,"",VLOOKUP($A107,Assets!$A:$C,3,FALSE))</x:f>
      </x:c>
      <x:c r="D107" s="16">
        <x:v>1</x:v>
      </x:c>
      <x:c r="E107" s="20" t="str">
        <x:f>_xlfn.IFNA(VLOOKUP(_xlfn.CONCAT("T",E$1,"V",$D107,"A",$A107),Vulnerabilities!$G:$G,1,FALSE),"")</x:f>
      </x:c>
      <x:c r="F107" s="20" t="str">
        <x:f>_xlfn.IFNA(VLOOKUP(_xlfn.CONCAT("T",F$1,"V",$D107,"A",$A107),Vulnerabilities!$G:$G,1,FALSE),"")</x:f>
      </x:c>
      <x:c r="G107" s="20" t="str">
        <x:f>_xlfn.IFNA(VLOOKUP(_xlfn.CONCAT("T",G$1,"V",$D107,"A",$A107),Vulnerabilities!$G:$G,1,FALSE),"")</x:f>
      </x:c>
      <x:c r="H107" s="20" t="str">
        <x:f>_xlfn.IFNA(VLOOKUP(_xlfn.CONCAT("T",H$1,"V",$D107,"A",$A107),Vulnerabilities!$G:$G,1,FALSE),"")</x:f>
      </x:c>
      <x:c r="I107" s="20" t="str">
        <x:f>_xlfn.IFNA(VLOOKUP(_xlfn.CONCAT("T",I$1,"V",$D107,"A",$A107),Vulnerabilities!$G:$G,1,FALSE),"")</x:f>
      </x:c>
      <x:c r="J107" s="20" t="str">
        <x:f>_xlfn.IFNA(VLOOKUP(_xlfn.CONCAT("T",J$1,"V",$D107,"A",$A107),Vulnerabilities!$G:$G,1,FALSE),"")</x:f>
      </x:c>
      <x:c r="K107" s="20" t="str">
        <x:f>_xlfn.IFNA(VLOOKUP(_xlfn.CONCAT("T",K$1,"V",$D107,"A",$A107),Vulnerabilities!$G:$G,1,FALSE),"")</x:f>
      </x:c>
      <x:c r="L107" s="20" t="str">
        <x:f>_xlfn.IFNA(VLOOKUP(_xlfn.CONCAT("T",L$1,"V",$D107,"A",$A107),Vulnerabilities!$G:$G,1,FALSE),"")</x:f>
      </x:c>
      <x:c r="M107" s="20" t="str">
        <x:f>_xlfn.IFNA(VLOOKUP(_xlfn.CONCAT("T",M$1,"V",$D107,"A",$A107),Vulnerabilities!$G:$G,1,FALSE),"")</x:f>
      </x:c>
      <x:c r="N107" s="20" t="str">
        <x:f>_xlfn.IFNA(VLOOKUP(_xlfn.CONCAT("T",N$1,"V",$D107,"A",$A107),Vulnerabilities!$G:$G,1,FALSE),"")</x:f>
      </x:c>
      <x:c r="O107" s="20" t="str">
        <x:f>_xlfn.IFNA(VLOOKUP(_xlfn.CONCAT("T",O$1,"V",$D107,"A",$A107),Vulnerabilities!$G:$G,1,FALSE),"")</x:f>
      </x:c>
      <x:c r="P107" s="16" t="str">
        <x:f>_xlfn.IFNA(VLOOKUP(_xlfn.CONCAT("T",P$1,"V",$D107,"A",$A107),Vulnerabilities!$G:$G,1,FALSE),"")</x:f>
      </x:c>
    </x:row>
    <x:row r="108">
      <x:c r="A108" s="1">
        <x:f t="shared" si="2"/>
        <x:v>27</x:v>
      </x:c>
      <x:c r="B108" t="str">
        <x:f>IF(VLOOKUP($A108,Assets!$A:$C,2,FALSE)=0,"",VLOOKUP($A108,Assets!$A:$C,2,FALSE))</x:f>
      </x:c>
      <x:c r="C108" t="str">
        <x:f>IF(VLOOKUP($A108,Assets!$A:$C,3,FALSE)=0,"",VLOOKUP($A108,Assets!$A:$C,3,FALSE))</x:f>
      </x:c>
      <x:c r="D108" s="16">
        <x:v>2</x:v>
      </x:c>
      <x:c r="E108" s="20" t="str">
        <x:f>_xlfn.IFNA(VLOOKUP(_xlfn.CONCAT("T",E$1,"V",$D108,"A",$A108),Vulnerabilities!$G:$G,1,FALSE),"")</x:f>
      </x:c>
      <x:c r="F108" s="20" t="str">
        <x:f>_xlfn.IFNA(VLOOKUP(_xlfn.CONCAT("T",F$1,"V",$D108,"A",$A108),Vulnerabilities!$G:$G,1,FALSE),"")</x:f>
      </x:c>
      <x:c r="G108" s="20" t="str">
        <x:f>_xlfn.IFNA(VLOOKUP(_xlfn.CONCAT("T",G$1,"V",$D108,"A",$A108),Vulnerabilities!$G:$G,1,FALSE),"")</x:f>
      </x:c>
      <x:c r="H108" s="20" t="str">
        <x:f>_xlfn.IFNA(VLOOKUP(_xlfn.CONCAT("T",H$1,"V",$D108,"A",$A108),Vulnerabilities!$G:$G,1,FALSE),"")</x:f>
      </x:c>
      <x:c r="I108" s="20" t="str">
        <x:f>_xlfn.IFNA(VLOOKUP(_xlfn.CONCAT("T",I$1,"V",$D108,"A",$A108),Vulnerabilities!$G:$G,1,FALSE),"")</x:f>
      </x:c>
      <x:c r="J108" s="20" t="str">
        <x:f>_xlfn.IFNA(VLOOKUP(_xlfn.CONCAT("T",J$1,"V",$D108,"A",$A108),Vulnerabilities!$G:$G,1,FALSE),"")</x:f>
      </x:c>
      <x:c r="K108" s="20" t="str">
        <x:f>_xlfn.IFNA(VLOOKUP(_xlfn.CONCAT("T",K$1,"V",$D108,"A",$A108),Vulnerabilities!$G:$G,1,FALSE),"")</x:f>
      </x:c>
      <x:c r="L108" s="20" t="str">
        <x:f>_xlfn.IFNA(VLOOKUP(_xlfn.CONCAT("T",L$1,"V",$D108,"A",$A108),Vulnerabilities!$G:$G,1,FALSE),"")</x:f>
      </x:c>
      <x:c r="M108" s="20" t="str">
        <x:f>_xlfn.IFNA(VLOOKUP(_xlfn.CONCAT("T",M$1,"V",$D108,"A",$A108),Vulnerabilities!$G:$G,1,FALSE),"")</x:f>
      </x:c>
      <x:c r="N108" s="20" t="str">
        <x:f>_xlfn.IFNA(VLOOKUP(_xlfn.CONCAT("T",N$1,"V",$D108,"A",$A108),Vulnerabilities!$G:$G,1,FALSE),"")</x:f>
      </x:c>
      <x:c r="O108" s="20" t="str">
        <x:f>_xlfn.IFNA(VLOOKUP(_xlfn.CONCAT("T",O$1,"V",$D108,"A",$A108),Vulnerabilities!$G:$G,1,FALSE),"")</x:f>
      </x:c>
      <x:c r="P108" s="16" t="str">
        <x:f>_xlfn.IFNA(VLOOKUP(_xlfn.CONCAT("T",P$1,"V",$D108,"A",$A108),Vulnerabilities!$G:$G,1,FALSE),"")</x:f>
      </x:c>
    </x:row>
    <x:row r="109">
      <x:c r="A109" s="1">
        <x:f t="shared" si="2"/>
        <x:v>27</x:v>
      </x:c>
      <x:c r="B109" t="str">
        <x:f>IF(VLOOKUP($A109,Assets!$A:$C,2,FALSE)=0,"",VLOOKUP($A109,Assets!$A:$C,2,FALSE))</x:f>
      </x:c>
      <x:c r="C109" t="str">
        <x:f>IF(VLOOKUP($A109,Assets!$A:$C,3,FALSE)=0,"",VLOOKUP($A109,Assets!$A:$C,3,FALSE))</x:f>
      </x:c>
      <x:c r="D109" s="16">
        <x:v>3</x:v>
      </x:c>
      <x:c r="E109" s="20" t="str">
        <x:f>_xlfn.IFNA(VLOOKUP(_xlfn.CONCAT("T",E$1,"V",$D109,"A",$A109),Vulnerabilities!$G:$G,1,FALSE),"")</x:f>
      </x:c>
      <x:c r="F109" s="20" t="str">
        <x:f>_xlfn.IFNA(VLOOKUP(_xlfn.CONCAT("T",F$1,"V",$D109,"A",$A109),Vulnerabilities!$G:$G,1,FALSE),"")</x:f>
      </x:c>
      <x:c r="G109" s="20" t="str">
        <x:f>_xlfn.IFNA(VLOOKUP(_xlfn.CONCAT("T",G$1,"V",$D109,"A",$A109),Vulnerabilities!$G:$G,1,FALSE),"")</x:f>
      </x:c>
      <x:c r="H109" s="20" t="str">
        <x:f>_xlfn.IFNA(VLOOKUP(_xlfn.CONCAT("T",H$1,"V",$D109,"A",$A109),Vulnerabilities!$G:$G,1,FALSE),"")</x:f>
      </x:c>
      <x:c r="I109" s="20" t="str">
        <x:f>_xlfn.IFNA(VLOOKUP(_xlfn.CONCAT("T",I$1,"V",$D109,"A",$A109),Vulnerabilities!$G:$G,1,FALSE),"")</x:f>
      </x:c>
      <x:c r="J109" s="20" t="str">
        <x:f>_xlfn.IFNA(VLOOKUP(_xlfn.CONCAT("T",J$1,"V",$D109,"A",$A109),Vulnerabilities!$G:$G,1,FALSE),"")</x:f>
      </x:c>
      <x:c r="K109" s="20" t="str">
        <x:f>_xlfn.IFNA(VLOOKUP(_xlfn.CONCAT("T",K$1,"V",$D109,"A",$A109),Vulnerabilities!$G:$G,1,FALSE),"")</x:f>
      </x:c>
      <x:c r="L109" s="20" t="str">
        <x:f>_xlfn.IFNA(VLOOKUP(_xlfn.CONCAT("T",L$1,"V",$D109,"A",$A109),Vulnerabilities!$G:$G,1,FALSE),"")</x:f>
      </x:c>
      <x:c r="M109" s="20" t="str">
        <x:f>_xlfn.IFNA(VLOOKUP(_xlfn.CONCAT("T",M$1,"V",$D109,"A",$A109),Vulnerabilities!$G:$G,1,FALSE),"")</x:f>
      </x:c>
      <x:c r="N109" s="20" t="str">
        <x:f>_xlfn.IFNA(VLOOKUP(_xlfn.CONCAT("T",N$1,"V",$D109,"A",$A109),Vulnerabilities!$G:$G,1,FALSE),"")</x:f>
      </x:c>
      <x:c r="O109" s="20" t="str">
        <x:f>_xlfn.IFNA(VLOOKUP(_xlfn.CONCAT("T",O$1,"V",$D109,"A",$A109),Vulnerabilities!$G:$G,1,FALSE),"")</x:f>
      </x:c>
      <x:c r="P109" s="16" t="str">
        <x:f>_xlfn.IFNA(VLOOKUP(_xlfn.CONCAT("T",P$1,"V",$D109,"A",$A109),Vulnerabilities!$G:$G,1,FALSE),"")</x:f>
      </x:c>
    </x:row>
    <x:row r="110">
      <x:c r="A110" s="11">
        <x:f t="shared" si="2"/>
        <x:v>27</x:v>
      </x:c>
      <x:c r="B110" s="12" t="str">
        <x:f>IF(VLOOKUP($A110,Assets!$A:$C,2,FALSE)=0,"",VLOOKUP($A110,Assets!$A:$C,2,FALSE))</x:f>
      </x:c>
      <x:c r="C110" s="12" t="str">
        <x:f>IF(VLOOKUP($A110,Assets!$A:$C,3,FALSE)=0,"",VLOOKUP($A110,Assets!$A:$C,3,FALSE))</x:f>
      </x:c>
      <x:c r="D110" s="17">
        <x:v>4</x:v>
      </x:c>
      <x:c r="E110" s="21" t="str">
        <x:f>_xlfn.IFNA(VLOOKUP(_xlfn.CONCAT("T",E$1,"V",$D110,"A",$A110),Vulnerabilities!$G:$G,1,FALSE),"")</x:f>
      </x:c>
      <x:c r="F110" s="21" t="str">
        <x:f>_xlfn.IFNA(VLOOKUP(_xlfn.CONCAT("T",F$1,"V",$D110,"A",$A110),Vulnerabilities!$G:$G,1,FALSE),"")</x:f>
      </x:c>
      <x:c r="G110" s="21" t="str">
        <x:f>_xlfn.IFNA(VLOOKUP(_xlfn.CONCAT("T",G$1,"V",$D110,"A",$A110),Vulnerabilities!$G:$G,1,FALSE),"")</x:f>
      </x:c>
      <x:c r="H110" s="21" t="str">
        <x:f>_xlfn.IFNA(VLOOKUP(_xlfn.CONCAT("T",H$1,"V",$D110,"A",$A110),Vulnerabilities!$G:$G,1,FALSE),"")</x:f>
      </x:c>
      <x:c r="I110" s="21" t="str">
        <x:f>_xlfn.IFNA(VLOOKUP(_xlfn.CONCAT("T",I$1,"V",$D110,"A",$A110),Vulnerabilities!$G:$G,1,FALSE),"")</x:f>
      </x:c>
      <x:c r="J110" s="21" t="str">
        <x:f>_xlfn.IFNA(VLOOKUP(_xlfn.CONCAT("T",J$1,"V",$D110,"A",$A110),Vulnerabilities!$G:$G,1,FALSE),"")</x:f>
      </x:c>
      <x:c r="K110" s="21" t="str">
        <x:f>_xlfn.IFNA(VLOOKUP(_xlfn.CONCAT("T",K$1,"V",$D110,"A",$A110),Vulnerabilities!$G:$G,1,FALSE),"")</x:f>
      </x:c>
      <x:c r="L110" s="21" t="str">
        <x:f>_xlfn.IFNA(VLOOKUP(_xlfn.CONCAT("T",L$1,"V",$D110,"A",$A110),Vulnerabilities!$G:$G,1,FALSE),"")</x:f>
      </x:c>
      <x:c r="M110" s="21" t="str">
        <x:f>_xlfn.IFNA(VLOOKUP(_xlfn.CONCAT("T",M$1,"V",$D110,"A",$A110),Vulnerabilities!$G:$G,1,FALSE),"")</x:f>
      </x:c>
      <x:c r="N110" s="21" t="str">
        <x:f>_xlfn.IFNA(VLOOKUP(_xlfn.CONCAT("T",N$1,"V",$D110,"A",$A110),Vulnerabilities!$G:$G,1,FALSE),"")</x:f>
      </x:c>
      <x:c r="O110" s="21" t="str">
        <x:f>_xlfn.IFNA(VLOOKUP(_xlfn.CONCAT("T",O$1,"V",$D110,"A",$A110),Vulnerabilities!$G:$G,1,FALSE),"")</x:f>
      </x:c>
      <x:c r="P110" s="17" t="str">
        <x:f>_xlfn.IFNA(VLOOKUP(_xlfn.CONCAT("T",P$1,"V",$D110,"A",$A110),Vulnerabilities!$G:$G,1,FALSE),"")</x:f>
      </x:c>
    </x:row>
    <x:row r="111">
      <x:c r="A111" s="1">
        <x:f t="shared" si="2"/>
        <x:v>28</x:v>
      </x:c>
      <x:c r="B111" t="str">
        <x:f>IF(VLOOKUP($A111,Assets!$A:$C,2,FALSE)=0,"",VLOOKUP($A111,Assets!$A:$C,2,FALSE))</x:f>
      </x:c>
      <x:c r="C111" t="str">
        <x:f>IF(VLOOKUP($A111,Assets!$A:$C,3,FALSE)=0,"",VLOOKUP($A111,Assets!$A:$C,3,FALSE))</x:f>
      </x:c>
      <x:c r="D111" s="16">
        <x:v>1</x:v>
      </x:c>
      <x:c r="E111" s="20" t="str">
        <x:f>_xlfn.IFNA(VLOOKUP(_xlfn.CONCAT("T",E$1,"V",$D111,"A",$A111),Vulnerabilities!$G:$G,1,FALSE),"")</x:f>
      </x:c>
      <x:c r="F111" s="20" t="str">
        <x:f>_xlfn.IFNA(VLOOKUP(_xlfn.CONCAT("T",F$1,"V",$D111,"A",$A111),Vulnerabilities!$G:$G,1,FALSE),"")</x:f>
      </x:c>
      <x:c r="G111" s="20" t="str">
        <x:f>_xlfn.IFNA(VLOOKUP(_xlfn.CONCAT("T",G$1,"V",$D111,"A",$A111),Vulnerabilities!$G:$G,1,FALSE),"")</x:f>
      </x:c>
      <x:c r="H111" s="20" t="str">
        <x:f>_xlfn.IFNA(VLOOKUP(_xlfn.CONCAT("T",H$1,"V",$D111,"A",$A111),Vulnerabilities!$G:$G,1,FALSE),"")</x:f>
      </x:c>
      <x:c r="I111" s="20" t="str">
        <x:f>_xlfn.IFNA(VLOOKUP(_xlfn.CONCAT("T",I$1,"V",$D111,"A",$A111),Vulnerabilities!$G:$G,1,FALSE),"")</x:f>
      </x:c>
      <x:c r="J111" s="20" t="str">
        <x:f>_xlfn.IFNA(VLOOKUP(_xlfn.CONCAT("T",J$1,"V",$D111,"A",$A111),Vulnerabilities!$G:$G,1,FALSE),"")</x:f>
      </x:c>
      <x:c r="K111" s="20" t="str">
        <x:f>_xlfn.IFNA(VLOOKUP(_xlfn.CONCAT("T",K$1,"V",$D111,"A",$A111),Vulnerabilities!$G:$G,1,FALSE),"")</x:f>
      </x:c>
      <x:c r="L111" s="20" t="str">
        <x:f>_xlfn.IFNA(VLOOKUP(_xlfn.CONCAT("T",L$1,"V",$D111,"A",$A111),Vulnerabilities!$G:$G,1,FALSE),"")</x:f>
      </x:c>
      <x:c r="M111" s="20" t="str">
        <x:f>_xlfn.IFNA(VLOOKUP(_xlfn.CONCAT("T",M$1,"V",$D111,"A",$A111),Vulnerabilities!$G:$G,1,FALSE),"")</x:f>
      </x:c>
      <x:c r="N111" s="20" t="str">
        <x:f>_xlfn.IFNA(VLOOKUP(_xlfn.CONCAT("T",N$1,"V",$D111,"A",$A111),Vulnerabilities!$G:$G,1,FALSE),"")</x:f>
      </x:c>
      <x:c r="O111" s="20" t="str">
        <x:f>_xlfn.IFNA(VLOOKUP(_xlfn.CONCAT("T",O$1,"V",$D111,"A",$A111),Vulnerabilities!$G:$G,1,FALSE),"")</x:f>
      </x:c>
      <x:c r="P111" s="16" t="str">
        <x:f>_xlfn.IFNA(VLOOKUP(_xlfn.CONCAT("T",P$1,"V",$D111,"A",$A111),Vulnerabilities!$G:$G,1,FALSE),"")</x:f>
      </x:c>
    </x:row>
    <x:row r="112">
      <x:c r="A112" s="1">
        <x:f t="shared" si="2"/>
        <x:v>28</x:v>
      </x:c>
      <x:c r="B112" t="str">
        <x:f>IF(VLOOKUP($A112,Assets!$A:$C,2,FALSE)=0,"",VLOOKUP($A112,Assets!$A:$C,2,FALSE))</x:f>
      </x:c>
      <x:c r="C112" t="str">
        <x:f>IF(VLOOKUP($A112,Assets!$A:$C,3,FALSE)=0,"",VLOOKUP($A112,Assets!$A:$C,3,FALSE))</x:f>
      </x:c>
      <x:c r="D112" s="16">
        <x:v>2</x:v>
      </x:c>
      <x:c r="E112" s="20" t="str">
        <x:f>_xlfn.IFNA(VLOOKUP(_xlfn.CONCAT("T",E$1,"V",$D112,"A",$A112),Vulnerabilities!$G:$G,1,FALSE),"")</x:f>
      </x:c>
      <x:c r="F112" s="20" t="str">
        <x:f>_xlfn.IFNA(VLOOKUP(_xlfn.CONCAT("T",F$1,"V",$D112,"A",$A112),Vulnerabilities!$G:$G,1,FALSE),"")</x:f>
      </x:c>
      <x:c r="G112" s="20" t="str">
        <x:f>_xlfn.IFNA(VLOOKUP(_xlfn.CONCAT("T",G$1,"V",$D112,"A",$A112),Vulnerabilities!$G:$G,1,FALSE),"")</x:f>
      </x:c>
      <x:c r="H112" s="20" t="str">
        <x:f>_xlfn.IFNA(VLOOKUP(_xlfn.CONCAT("T",H$1,"V",$D112,"A",$A112),Vulnerabilities!$G:$G,1,FALSE),"")</x:f>
      </x:c>
      <x:c r="I112" s="20" t="str">
        <x:f>_xlfn.IFNA(VLOOKUP(_xlfn.CONCAT("T",I$1,"V",$D112,"A",$A112),Vulnerabilities!$G:$G,1,FALSE),"")</x:f>
      </x:c>
      <x:c r="J112" s="20" t="str">
        <x:f>_xlfn.IFNA(VLOOKUP(_xlfn.CONCAT("T",J$1,"V",$D112,"A",$A112),Vulnerabilities!$G:$G,1,FALSE),"")</x:f>
      </x:c>
      <x:c r="K112" s="20" t="str">
        <x:f>_xlfn.IFNA(VLOOKUP(_xlfn.CONCAT("T",K$1,"V",$D112,"A",$A112),Vulnerabilities!$G:$G,1,FALSE),"")</x:f>
      </x:c>
      <x:c r="L112" s="20" t="str">
        <x:f>_xlfn.IFNA(VLOOKUP(_xlfn.CONCAT("T",L$1,"V",$D112,"A",$A112),Vulnerabilities!$G:$G,1,FALSE),"")</x:f>
      </x:c>
      <x:c r="M112" s="20" t="str">
        <x:f>_xlfn.IFNA(VLOOKUP(_xlfn.CONCAT("T",M$1,"V",$D112,"A",$A112),Vulnerabilities!$G:$G,1,FALSE),"")</x:f>
      </x:c>
      <x:c r="N112" s="20" t="str">
        <x:f>_xlfn.IFNA(VLOOKUP(_xlfn.CONCAT("T",N$1,"V",$D112,"A",$A112),Vulnerabilities!$G:$G,1,FALSE),"")</x:f>
      </x:c>
      <x:c r="O112" s="20" t="str">
        <x:f>_xlfn.IFNA(VLOOKUP(_xlfn.CONCAT("T",O$1,"V",$D112,"A",$A112),Vulnerabilities!$G:$G,1,FALSE),"")</x:f>
      </x:c>
      <x:c r="P112" s="16" t="str">
        <x:f>_xlfn.IFNA(VLOOKUP(_xlfn.CONCAT("T",P$1,"V",$D112,"A",$A112),Vulnerabilities!$G:$G,1,FALSE),"")</x:f>
      </x:c>
    </x:row>
    <x:row r="113">
      <x:c r="A113" s="1">
        <x:f t="shared" si="2"/>
        <x:v>28</x:v>
      </x:c>
      <x:c r="B113" t="str">
        <x:f>IF(VLOOKUP($A113,Assets!$A:$C,2,FALSE)=0,"",VLOOKUP($A113,Assets!$A:$C,2,FALSE))</x:f>
      </x:c>
      <x:c r="C113" t="str">
        <x:f>IF(VLOOKUP($A113,Assets!$A:$C,3,FALSE)=0,"",VLOOKUP($A113,Assets!$A:$C,3,FALSE))</x:f>
      </x:c>
      <x:c r="D113" s="16">
        <x:v>3</x:v>
      </x:c>
      <x:c r="E113" s="20" t="str">
        <x:f>_xlfn.IFNA(VLOOKUP(_xlfn.CONCAT("T",E$1,"V",$D113,"A",$A113),Vulnerabilities!$G:$G,1,FALSE),"")</x:f>
      </x:c>
      <x:c r="F113" s="20" t="str">
        <x:f>_xlfn.IFNA(VLOOKUP(_xlfn.CONCAT("T",F$1,"V",$D113,"A",$A113),Vulnerabilities!$G:$G,1,FALSE),"")</x:f>
      </x:c>
      <x:c r="G113" s="20" t="str">
        <x:f>_xlfn.IFNA(VLOOKUP(_xlfn.CONCAT("T",G$1,"V",$D113,"A",$A113),Vulnerabilities!$G:$G,1,FALSE),"")</x:f>
      </x:c>
      <x:c r="H113" s="20" t="str">
        <x:f>_xlfn.IFNA(VLOOKUP(_xlfn.CONCAT("T",H$1,"V",$D113,"A",$A113),Vulnerabilities!$G:$G,1,FALSE),"")</x:f>
      </x:c>
      <x:c r="I113" s="20" t="str">
        <x:f>_xlfn.IFNA(VLOOKUP(_xlfn.CONCAT("T",I$1,"V",$D113,"A",$A113),Vulnerabilities!$G:$G,1,FALSE),"")</x:f>
      </x:c>
      <x:c r="J113" s="20" t="str">
        <x:f>_xlfn.IFNA(VLOOKUP(_xlfn.CONCAT("T",J$1,"V",$D113,"A",$A113),Vulnerabilities!$G:$G,1,FALSE),"")</x:f>
      </x:c>
      <x:c r="K113" s="20" t="str">
        <x:f>_xlfn.IFNA(VLOOKUP(_xlfn.CONCAT("T",K$1,"V",$D113,"A",$A113),Vulnerabilities!$G:$G,1,FALSE),"")</x:f>
      </x:c>
      <x:c r="L113" s="20" t="str">
        <x:f>_xlfn.IFNA(VLOOKUP(_xlfn.CONCAT("T",L$1,"V",$D113,"A",$A113),Vulnerabilities!$G:$G,1,FALSE),"")</x:f>
      </x:c>
      <x:c r="M113" s="20" t="str">
        <x:f>_xlfn.IFNA(VLOOKUP(_xlfn.CONCAT("T",M$1,"V",$D113,"A",$A113),Vulnerabilities!$G:$G,1,FALSE),"")</x:f>
      </x:c>
      <x:c r="N113" s="20" t="str">
        <x:f>_xlfn.IFNA(VLOOKUP(_xlfn.CONCAT("T",N$1,"V",$D113,"A",$A113),Vulnerabilities!$G:$G,1,FALSE),"")</x:f>
      </x:c>
      <x:c r="O113" s="20" t="str">
        <x:f>_xlfn.IFNA(VLOOKUP(_xlfn.CONCAT("T",O$1,"V",$D113,"A",$A113),Vulnerabilities!$G:$G,1,FALSE),"")</x:f>
      </x:c>
      <x:c r="P113" s="16" t="str">
        <x:f>_xlfn.IFNA(VLOOKUP(_xlfn.CONCAT("T",P$1,"V",$D113,"A",$A113),Vulnerabilities!$G:$G,1,FALSE),"")</x:f>
      </x:c>
    </x:row>
    <x:row r="114">
      <x:c r="A114" s="11">
        <x:f t="shared" si="2"/>
        <x:v>28</x:v>
      </x:c>
      <x:c r="B114" s="12" t="str">
        <x:f>IF(VLOOKUP($A114,Assets!$A:$C,2,FALSE)=0,"",VLOOKUP($A114,Assets!$A:$C,2,FALSE))</x:f>
      </x:c>
      <x:c r="C114" s="12" t="str">
        <x:f>IF(VLOOKUP($A114,Assets!$A:$C,3,FALSE)=0,"",VLOOKUP($A114,Assets!$A:$C,3,FALSE))</x:f>
      </x:c>
      <x:c r="D114" s="17">
        <x:v>4</x:v>
      </x:c>
      <x:c r="E114" s="21" t="str">
        <x:f>_xlfn.IFNA(VLOOKUP(_xlfn.CONCAT("T",E$1,"V",$D114,"A",$A114),Vulnerabilities!$G:$G,1,FALSE),"")</x:f>
      </x:c>
      <x:c r="F114" s="21" t="str">
        <x:f>_xlfn.IFNA(VLOOKUP(_xlfn.CONCAT("T",F$1,"V",$D114,"A",$A114),Vulnerabilities!$G:$G,1,FALSE),"")</x:f>
      </x:c>
      <x:c r="G114" s="21" t="str">
        <x:f>_xlfn.IFNA(VLOOKUP(_xlfn.CONCAT("T",G$1,"V",$D114,"A",$A114),Vulnerabilities!$G:$G,1,FALSE),"")</x:f>
      </x:c>
      <x:c r="H114" s="21" t="str">
        <x:f>_xlfn.IFNA(VLOOKUP(_xlfn.CONCAT("T",H$1,"V",$D114,"A",$A114),Vulnerabilities!$G:$G,1,FALSE),"")</x:f>
      </x:c>
      <x:c r="I114" s="21" t="str">
        <x:f>_xlfn.IFNA(VLOOKUP(_xlfn.CONCAT("T",I$1,"V",$D114,"A",$A114),Vulnerabilities!$G:$G,1,FALSE),"")</x:f>
      </x:c>
      <x:c r="J114" s="21" t="str">
        <x:f>_xlfn.IFNA(VLOOKUP(_xlfn.CONCAT("T",J$1,"V",$D114,"A",$A114),Vulnerabilities!$G:$G,1,FALSE),"")</x:f>
      </x:c>
      <x:c r="K114" s="21" t="str">
        <x:f>_xlfn.IFNA(VLOOKUP(_xlfn.CONCAT("T",K$1,"V",$D114,"A",$A114),Vulnerabilities!$G:$G,1,FALSE),"")</x:f>
      </x:c>
      <x:c r="L114" s="21" t="str">
        <x:f>_xlfn.IFNA(VLOOKUP(_xlfn.CONCAT("T",L$1,"V",$D114,"A",$A114),Vulnerabilities!$G:$G,1,FALSE),"")</x:f>
      </x:c>
      <x:c r="M114" s="21" t="str">
        <x:f>_xlfn.IFNA(VLOOKUP(_xlfn.CONCAT("T",M$1,"V",$D114,"A",$A114),Vulnerabilities!$G:$G,1,FALSE),"")</x:f>
      </x:c>
      <x:c r="N114" s="21" t="str">
        <x:f>_xlfn.IFNA(VLOOKUP(_xlfn.CONCAT("T",N$1,"V",$D114,"A",$A114),Vulnerabilities!$G:$G,1,FALSE),"")</x:f>
      </x:c>
      <x:c r="O114" s="21" t="str">
        <x:f>_xlfn.IFNA(VLOOKUP(_xlfn.CONCAT("T",O$1,"V",$D114,"A",$A114),Vulnerabilities!$G:$G,1,FALSE),"")</x:f>
      </x:c>
      <x:c r="P114" s="17" t="str">
        <x:f>_xlfn.IFNA(VLOOKUP(_xlfn.CONCAT("T",P$1,"V",$D114,"A",$A114),Vulnerabilities!$G:$G,1,FALSE),"")</x:f>
      </x:c>
    </x:row>
    <x:row r="115">
      <x:c r="A115" s="1">
        <x:f t="shared" si="2"/>
        <x:v>29</x:v>
      </x:c>
      <x:c r="B115" t="str">
        <x:f>IF(VLOOKUP($A115,Assets!$A:$C,2,FALSE)=0,"",VLOOKUP($A115,Assets!$A:$C,2,FALSE))</x:f>
      </x:c>
      <x:c r="C115" t="str">
        <x:f>IF(VLOOKUP($A115,Assets!$A:$C,3,FALSE)=0,"",VLOOKUP($A115,Assets!$A:$C,3,FALSE))</x:f>
      </x:c>
      <x:c r="D115" s="16">
        <x:v>1</x:v>
      </x:c>
      <x:c r="E115" s="20" t="str">
        <x:f>_xlfn.IFNA(VLOOKUP(_xlfn.CONCAT("T",E$1,"V",$D115,"A",$A115),Vulnerabilities!$G:$G,1,FALSE),"")</x:f>
      </x:c>
      <x:c r="F115" s="20" t="str">
        <x:f>_xlfn.IFNA(VLOOKUP(_xlfn.CONCAT("T",F$1,"V",$D115,"A",$A115),Vulnerabilities!$G:$G,1,FALSE),"")</x:f>
      </x:c>
      <x:c r="G115" s="20" t="str">
        <x:f>_xlfn.IFNA(VLOOKUP(_xlfn.CONCAT("T",G$1,"V",$D115,"A",$A115),Vulnerabilities!$G:$G,1,FALSE),"")</x:f>
      </x:c>
      <x:c r="H115" s="20" t="str">
        <x:f>_xlfn.IFNA(VLOOKUP(_xlfn.CONCAT("T",H$1,"V",$D115,"A",$A115),Vulnerabilities!$G:$G,1,FALSE),"")</x:f>
      </x:c>
      <x:c r="I115" s="20" t="str">
        <x:f>_xlfn.IFNA(VLOOKUP(_xlfn.CONCAT("T",I$1,"V",$D115,"A",$A115),Vulnerabilities!$G:$G,1,FALSE),"")</x:f>
      </x:c>
      <x:c r="J115" s="20" t="str">
        <x:f>_xlfn.IFNA(VLOOKUP(_xlfn.CONCAT("T",J$1,"V",$D115,"A",$A115),Vulnerabilities!$G:$G,1,FALSE),"")</x:f>
      </x:c>
      <x:c r="K115" s="20" t="str">
        <x:f>_xlfn.IFNA(VLOOKUP(_xlfn.CONCAT("T",K$1,"V",$D115,"A",$A115),Vulnerabilities!$G:$G,1,FALSE),"")</x:f>
      </x:c>
      <x:c r="L115" s="20" t="str">
        <x:f>_xlfn.IFNA(VLOOKUP(_xlfn.CONCAT("T",L$1,"V",$D115,"A",$A115),Vulnerabilities!$G:$G,1,FALSE),"")</x:f>
      </x:c>
      <x:c r="M115" s="20" t="str">
        <x:f>_xlfn.IFNA(VLOOKUP(_xlfn.CONCAT("T",M$1,"V",$D115,"A",$A115),Vulnerabilities!$G:$G,1,FALSE),"")</x:f>
      </x:c>
      <x:c r="N115" s="20" t="str">
        <x:f>_xlfn.IFNA(VLOOKUP(_xlfn.CONCAT("T",N$1,"V",$D115,"A",$A115),Vulnerabilities!$G:$G,1,FALSE),"")</x:f>
      </x:c>
      <x:c r="O115" s="20" t="str">
        <x:f>_xlfn.IFNA(VLOOKUP(_xlfn.CONCAT("T",O$1,"V",$D115,"A",$A115),Vulnerabilities!$G:$G,1,FALSE),"")</x:f>
      </x:c>
      <x:c r="P115" s="16" t="str">
        <x:f>_xlfn.IFNA(VLOOKUP(_xlfn.CONCAT("T",P$1,"V",$D115,"A",$A115),Vulnerabilities!$G:$G,1,FALSE),"")</x:f>
      </x:c>
    </x:row>
    <x:row r="116">
      <x:c r="A116" s="1">
        <x:f t="shared" si="2"/>
        <x:v>29</x:v>
      </x:c>
      <x:c r="B116" t="str">
        <x:f>IF(VLOOKUP($A116,Assets!$A:$C,2,FALSE)=0,"",VLOOKUP($A116,Assets!$A:$C,2,FALSE))</x:f>
      </x:c>
      <x:c r="C116" t="str">
        <x:f>IF(VLOOKUP($A116,Assets!$A:$C,3,FALSE)=0,"",VLOOKUP($A116,Assets!$A:$C,3,FALSE))</x:f>
      </x:c>
      <x:c r="D116" s="16">
        <x:v>2</x:v>
      </x:c>
      <x:c r="E116" s="20" t="str">
        <x:f>_xlfn.IFNA(VLOOKUP(_xlfn.CONCAT("T",E$1,"V",$D116,"A",$A116),Vulnerabilities!$G:$G,1,FALSE),"")</x:f>
      </x:c>
      <x:c r="F116" s="20" t="str">
        <x:f>_xlfn.IFNA(VLOOKUP(_xlfn.CONCAT("T",F$1,"V",$D116,"A",$A116),Vulnerabilities!$G:$G,1,FALSE),"")</x:f>
      </x:c>
      <x:c r="G116" s="20" t="str">
        <x:f>_xlfn.IFNA(VLOOKUP(_xlfn.CONCAT("T",G$1,"V",$D116,"A",$A116),Vulnerabilities!$G:$G,1,FALSE),"")</x:f>
      </x:c>
      <x:c r="H116" s="20" t="str">
        <x:f>_xlfn.IFNA(VLOOKUP(_xlfn.CONCAT("T",H$1,"V",$D116,"A",$A116),Vulnerabilities!$G:$G,1,FALSE),"")</x:f>
      </x:c>
      <x:c r="I116" s="20" t="str">
        <x:f>_xlfn.IFNA(VLOOKUP(_xlfn.CONCAT("T",I$1,"V",$D116,"A",$A116),Vulnerabilities!$G:$G,1,FALSE),"")</x:f>
      </x:c>
      <x:c r="J116" s="20" t="str">
        <x:f>_xlfn.IFNA(VLOOKUP(_xlfn.CONCAT("T",J$1,"V",$D116,"A",$A116),Vulnerabilities!$G:$G,1,FALSE),"")</x:f>
      </x:c>
      <x:c r="K116" s="20" t="str">
        <x:f>_xlfn.IFNA(VLOOKUP(_xlfn.CONCAT("T",K$1,"V",$D116,"A",$A116),Vulnerabilities!$G:$G,1,FALSE),"")</x:f>
      </x:c>
      <x:c r="L116" s="20" t="str">
        <x:f>_xlfn.IFNA(VLOOKUP(_xlfn.CONCAT("T",L$1,"V",$D116,"A",$A116),Vulnerabilities!$G:$G,1,FALSE),"")</x:f>
      </x:c>
      <x:c r="M116" s="20" t="str">
        <x:f>_xlfn.IFNA(VLOOKUP(_xlfn.CONCAT("T",M$1,"V",$D116,"A",$A116),Vulnerabilities!$G:$G,1,FALSE),"")</x:f>
      </x:c>
      <x:c r="N116" s="20" t="str">
        <x:f>_xlfn.IFNA(VLOOKUP(_xlfn.CONCAT("T",N$1,"V",$D116,"A",$A116),Vulnerabilities!$G:$G,1,FALSE),"")</x:f>
      </x:c>
      <x:c r="O116" s="20" t="str">
        <x:f>_xlfn.IFNA(VLOOKUP(_xlfn.CONCAT("T",O$1,"V",$D116,"A",$A116),Vulnerabilities!$G:$G,1,FALSE),"")</x:f>
      </x:c>
      <x:c r="P116" s="16" t="str">
        <x:f>_xlfn.IFNA(VLOOKUP(_xlfn.CONCAT("T",P$1,"V",$D116,"A",$A116),Vulnerabilities!$G:$G,1,FALSE),"")</x:f>
      </x:c>
    </x:row>
    <x:row r="117">
      <x:c r="A117" s="1">
        <x:f t="shared" si="2"/>
        <x:v>29</x:v>
      </x:c>
      <x:c r="B117" t="str">
        <x:f>IF(VLOOKUP($A117,Assets!$A:$C,2,FALSE)=0,"",VLOOKUP($A117,Assets!$A:$C,2,FALSE))</x:f>
      </x:c>
      <x:c r="C117" t="str">
        <x:f>IF(VLOOKUP($A117,Assets!$A:$C,3,FALSE)=0,"",VLOOKUP($A117,Assets!$A:$C,3,FALSE))</x:f>
      </x:c>
      <x:c r="D117" s="16">
        <x:v>3</x:v>
      </x:c>
      <x:c r="E117" s="20" t="str">
        <x:f>_xlfn.IFNA(VLOOKUP(_xlfn.CONCAT("T",E$1,"V",$D117,"A",$A117),Vulnerabilities!$G:$G,1,FALSE),"")</x:f>
      </x:c>
      <x:c r="F117" s="20" t="str">
        <x:f>_xlfn.IFNA(VLOOKUP(_xlfn.CONCAT("T",F$1,"V",$D117,"A",$A117),Vulnerabilities!$G:$G,1,FALSE),"")</x:f>
      </x:c>
      <x:c r="G117" s="20" t="str">
        <x:f>_xlfn.IFNA(VLOOKUP(_xlfn.CONCAT("T",G$1,"V",$D117,"A",$A117),Vulnerabilities!$G:$G,1,FALSE),"")</x:f>
      </x:c>
      <x:c r="H117" s="20" t="str">
        <x:f>_xlfn.IFNA(VLOOKUP(_xlfn.CONCAT("T",H$1,"V",$D117,"A",$A117),Vulnerabilities!$G:$G,1,FALSE),"")</x:f>
      </x:c>
      <x:c r="I117" s="20" t="str">
        <x:f>_xlfn.IFNA(VLOOKUP(_xlfn.CONCAT("T",I$1,"V",$D117,"A",$A117),Vulnerabilities!$G:$G,1,FALSE),"")</x:f>
      </x:c>
      <x:c r="J117" s="20" t="str">
        <x:f>_xlfn.IFNA(VLOOKUP(_xlfn.CONCAT("T",J$1,"V",$D117,"A",$A117),Vulnerabilities!$G:$G,1,FALSE),"")</x:f>
      </x:c>
      <x:c r="K117" s="20" t="str">
        <x:f>_xlfn.IFNA(VLOOKUP(_xlfn.CONCAT("T",K$1,"V",$D117,"A",$A117),Vulnerabilities!$G:$G,1,FALSE),"")</x:f>
      </x:c>
      <x:c r="L117" s="20" t="str">
        <x:f>_xlfn.IFNA(VLOOKUP(_xlfn.CONCAT("T",L$1,"V",$D117,"A",$A117),Vulnerabilities!$G:$G,1,FALSE),"")</x:f>
      </x:c>
      <x:c r="M117" s="20" t="str">
        <x:f>_xlfn.IFNA(VLOOKUP(_xlfn.CONCAT("T",M$1,"V",$D117,"A",$A117),Vulnerabilities!$G:$G,1,FALSE),"")</x:f>
      </x:c>
      <x:c r="N117" s="20" t="str">
        <x:f>_xlfn.IFNA(VLOOKUP(_xlfn.CONCAT("T",N$1,"V",$D117,"A",$A117),Vulnerabilities!$G:$G,1,FALSE),"")</x:f>
      </x:c>
      <x:c r="O117" s="20" t="str">
        <x:f>_xlfn.IFNA(VLOOKUP(_xlfn.CONCAT("T",O$1,"V",$D117,"A",$A117),Vulnerabilities!$G:$G,1,FALSE),"")</x:f>
      </x:c>
      <x:c r="P117" s="16" t="str">
        <x:f>_xlfn.IFNA(VLOOKUP(_xlfn.CONCAT("T",P$1,"V",$D117,"A",$A117),Vulnerabilities!$G:$G,1,FALSE),"")</x:f>
      </x:c>
    </x:row>
    <x:row r="118">
      <x:c r="A118" s="11">
        <x:f t="shared" si="2"/>
        <x:v>29</x:v>
      </x:c>
      <x:c r="B118" s="12" t="str">
        <x:f>IF(VLOOKUP($A118,Assets!$A:$C,2,FALSE)=0,"",VLOOKUP($A118,Assets!$A:$C,2,FALSE))</x:f>
      </x:c>
      <x:c r="C118" s="12" t="str">
        <x:f>IF(VLOOKUP($A118,Assets!$A:$C,3,FALSE)=0,"",VLOOKUP($A118,Assets!$A:$C,3,FALSE))</x:f>
      </x:c>
      <x:c r="D118" s="17">
        <x:v>4</x:v>
      </x:c>
      <x:c r="E118" s="21" t="str">
        <x:f>_xlfn.IFNA(VLOOKUP(_xlfn.CONCAT("T",E$1,"V",$D118,"A",$A118),Vulnerabilities!$G:$G,1,FALSE),"")</x:f>
      </x:c>
      <x:c r="F118" s="21" t="str">
        <x:f>_xlfn.IFNA(VLOOKUP(_xlfn.CONCAT("T",F$1,"V",$D118,"A",$A118),Vulnerabilities!$G:$G,1,FALSE),"")</x:f>
      </x:c>
      <x:c r="G118" s="21" t="str">
        <x:f>_xlfn.IFNA(VLOOKUP(_xlfn.CONCAT("T",G$1,"V",$D118,"A",$A118),Vulnerabilities!$G:$G,1,FALSE),"")</x:f>
      </x:c>
      <x:c r="H118" s="21" t="str">
        <x:f>_xlfn.IFNA(VLOOKUP(_xlfn.CONCAT("T",H$1,"V",$D118,"A",$A118),Vulnerabilities!$G:$G,1,FALSE),"")</x:f>
      </x:c>
      <x:c r="I118" s="21" t="str">
        <x:f>_xlfn.IFNA(VLOOKUP(_xlfn.CONCAT("T",I$1,"V",$D118,"A",$A118),Vulnerabilities!$G:$G,1,FALSE),"")</x:f>
      </x:c>
      <x:c r="J118" s="21" t="str">
        <x:f>_xlfn.IFNA(VLOOKUP(_xlfn.CONCAT("T",J$1,"V",$D118,"A",$A118),Vulnerabilities!$G:$G,1,FALSE),"")</x:f>
      </x:c>
      <x:c r="K118" s="21" t="str">
        <x:f>_xlfn.IFNA(VLOOKUP(_xlfn.CONCAT("T",K$1,"V",$D118,"A",$A118),Vulnerabilities!$G:$G,1,FALSE),"")</x:f>
      </x:c>
      <x:c r="L118" s="21" t="str">
        <x:f>_xlfn.IFNA(VLOOKUP(_xlfn.CONCAT("T",L$1,"V",$D118,"A",$A118),Vulnerabilities!$G:$G,1,FALSE),"")</x:f>
      </x:c>
      <x:c r="M118" s="21" t="str">
        <x:f>_xlfn.IFNA(VLOOKUP(_xlfn.CONCAT("T",M$1,"V",$D118,"A",$A118),Vulnerabilities!$G:$G,1,FALSE),"")</x:f>
      </x:c>
      <x:c r="N118" s="21" t="str">
        <x:f>_xlfn.IFNA(VLOOKUP(_xlfn.CONCAT("T",N$1,"V",$D118,"A",$A118),Vulnerabilities!$G:$G,1,FALSE),"")</x:f>
      </x:c>
      <x:c r="O118" s="21" t="str">
        <x:f>_xlfn.IFNA(VLOOKUP(_xlfn.CONCAT("T",O$1,"V",$D118,"A",$A118),Vulnerabilities!$G:$G,1,FALSE),"")</x:f>
      </x:c>
      <x:c r="P118" s="17" t="str">
        <x:f>_xlfn.IFNA(VLOOKUP(_xlfn.CONCAT("T",P$1,"V",$D118,"A",$A118),Vulnerabilities!$G:$G,1,FALSE),"")</x:f>
      </x:c>
    </x:row>
    <x:row r="119">
      <x:c r="A119" s="1">
        <x:f t="shared" si="2"/>
        <x:v>30</x:v>
      </x:c>
      <x:c r="B119" t="str">
        <x:f>IF(VLOOKUP($A119,Assets!$A:$C,2,FALSE)=0,"",VLOOKUP($A119,Assets!$A:$C,2,FALSE))</x:f>
      </x:c>
      <x:c r="C119" t="str">
        <x:f>IF(VLOOKUP($A119,Assets!$A:$C,3,FALSE)=0,"",VLOOKUP($A119,Assets!$A:$C,3,FALSE))</x:f>
      </x:c>
      <x:c r="D119" s="16">
        <x:v>1</x:v>
      </x:c>
      <x:c r="E119" s="20" t="str">
        <x:f>_xlfn.IFNA(VLOOKUP(_xlfn.CONCAT("T",E$1,"V",$D119,"A",$A119),Vulnerabilities!$G:$G,1,FALSE),"")</x:f>
      </x:c>
      <x:c r="F119" s="20" t="str">
        <x:f>_xlfn.IFNA(VLOOKUP(_xlfn.CONCAT("T",F$1,"V",$D119,"A",$A119),Vulnerabilities!$G:$G,1,FALSE),"")</x:f>
      </x:c>
      <x:c r="G119" s="20" t="str">
        <x:f>_xlfn.IFNA(VLOOKUP(_xlfn.CONCAT("T",G$1,"V",$D119,"A",$A119),Vulnerabilities!$G:$G,1,FALSE),"")</x:f>
      </x:c>
      <x:c r="H119" s="20" t="str">
        <x:f>_xlfn.IFNA(VLOOKUP(_xlfn.CONCAT("T",H$1,"V",$D119,"A",$A119),Vulnerabilities!$G:$G,1,FALSE),"")</x:f>
      </x:c>
      <x:c r="I119" s="20" t="str">
        <x:f>_xlfn.IFNA(VLOOKUP(_xlfn.CONCAT("T",I$1,"V",$D119,"A",$A119),Vulnerabilities!$G:$G,1,FALSE),"")</x:f>
      </x:c>
      <x:c r="J119" s="20" t="str">
        <x:f>_xlfn.IFNA(VLOOKUP(_xlfn.CONCAT("T",J$1,"V",$D119,"A",$A119),Vulnerabilities!$G:$G,1,FALSE),"")</x:f>
      </x:c>
      <x:c r="K119" s="20" t="str">
        <x:f>_xlfn.IFNA(VLOOKUP(_xlfn.CONCAT("T",K$1,"V",$D119,"A",$A119),Vulnerabilities!$G:$G,1,FALSE),"")</x:f>
      </x:c>
      <x:c r="L119" s="20" t="str">
        <x:f>_xlfn.IFNA(VLOOKUP(_xlfn.CONCAT("T",L$1,"V",$D119,"A",$A119),Vulnerabilities!$G:$G,1,FALSE),"")</x:f>
      </x:c>
      <x:c r="M119" s="20" t="str">
        <x:f>_xlfn.IFNA(VLOOKUP(_xlfn.CONCAT("T",M$1,"V",$D119,"A",$A119),Vulnerabilities!$G:$G,1,FALSE),"")</x:f>
      </x:c>
      <x:c r="N119" s="20" t="str">
        <x:f>_xlfn.IFNA(VLOOKUP(_xlfn.CONCAT("T",N$1,"V",$D119,"A",$A119),Vulnerabilities!$G:$G,1,FALSE),"")</x:f>
      </x:c>
      <x:c r="O119" s="20" t="str">
        <x:f>_xlfn.IFNA(VLOOKUP(_xlfn.CONCAT("T",O$1,"V",$D119,"A",$A119),Vulnerabilities!$G:$G,1,FALSE),"")</x:f>
      </x:c>
      <x:c r="P119" s="16" t="str">
        <x:f>_xlfn.IFNA(VLOOKUP(_xlfn.CONCAT("T",P$1,"V",$D119,"A",$A119),Vulnerabilities!$G:$G,1,FALSE),"")</x:f>
      </x:c>
    </x:row>
    <x:row r="120">
      <x:c r="A120" s="1">
        <x:f t="shared" si="2"/>
        <x:v>30</x:v>
      </x:c>
      <x:c r="B120" t="str">
        <x:f>IF(VLOOKUP($A120,Assets!$A:$C,2,FALSE)=0,"",VLOOKUP($A120,Assets!$A:$C,2,FALSE))</x:f>
      </x:c>
      <x:c r="C120" t="str">
        <x:f>IF(VLOOKUP($A120,Assets!$A:$C,3,FALSE)=0,"",VLOOKUP($A120,Assets!$A:$C,3,FALSE))</x:f>
      </x:c>
      <x:c r="D120" s="16">
        <x:v>2</x:v>
      </x:c>
      <x:c r="E120" s="20" t="str">
        <x:f>_xlfn.IFNA(VLOOKUP(_xlfn.CONCAT("T",E$1,"V",$D120,"A",$A120),Vulnerabilities!$G:$G,1,FALSE),"")</x:f>
      </x:c>
      <x:c r="F120" s="20" t="str">
        <x:f>_xlfn.IFNA(VLOOKUP(_xlfn.CONCAT("T",F$1,"V",$D120,"A",$A120),Vulnerabilities!$G:$G,1,FALSE),"")</x:f>
      </x:c>
      <x:c r="G120" s="20" t="str">
        <x:f>_xlfn.IFNA(VLOOKUP(_xlfn.CONCAT("T",G$1,"V",$D120,"A",$A120),Vulnerabilities!$G:$G,1,FALSE),"")</x:f>
      </x:c>
      <x:c r="H120" s="20" t="str">
        <x:f>_xlfn.IFNA(VLOOKUP(_xlfn.CONCAT("T",H$1,"V",$D120,"A",$A120),Vulnerabilities!$G:$G,1,FALSE),"")</x:f>
      </x:c>
      <x:c r="I120" s="20" t="str">
        <x:f>_xlfn.IFNA(VLOOKUP(_xlfn.CONCAT("T",I$1,"V",$D120,"A",$A120),Vulnerabilities!$G:$G,1,FALSE),"")</x:f>
      </x:c>
      <x:c r="J120" s="20" t="str">
        <x:f>_xlfn.IFNA(VLOOKUP(_xlfn.CONCAT("T",J$1,"V",$D120,"A",$A120),Vulnerabilities!$G:$G,1,FALSE),"")</x:f>
      </x:c>
      <x:c r="K120" s="20" t="str">
        <x:f>_xlfn.IFNA(VLOOKUP(_xlfn.CONCAT("T",K$1,"V",$D120,"A",$A120),Vulnerabilities!$G:$G,1,FALSE),"")</x:f>
      </x:c>
      <x:c r="L120" s="20" t="str">
        <x:f>_xlfn.IFNA(VLOOKUP(_xlfn.CONCAT("T",L$1,"V",$D120,"A",$A120),Vulnerabilities!$G:$G,1,FALSE),"")</x:f>
      </x:c>
      <x:c r="M120" s="20" t="str">
        <x:f>_xlfn.IFNA(VLOOKUP(_xlfn.CONCAT("T",M$1,"V",$D120,"A",$A120),Vulnerabilities!$G:$G,1,FALSE),"")</x:f>
      </x:c>
      <x:c r="N120" s="20" t="str">
        <x:f>_xlfn.IFNA(VLOOKUP(_xlfn.CONCAT("T",N$1,"V",$D120,"A",$A120),Vulnerabilities!$G:$G,1,FALSE),"")</x:f>
      </x:c>
      <x:c r="O120" s="20" t="str">
        <x:f>_xlfn.IFNA(VLOOKUP(_xlfn.CONCAT("T",O$1,"V",$D120,"A",$A120),Vulnerabilities!$G:$G,1,FALSE),"")</x:f>
      </x:c>
      <x:c r="P120" s="16" t="str">
        <x:f>_xlfn.IFNA(VLOOKUP(_xlfn.CONCAT("T",P$1,"V",$D120,"A",$A120),Vulnerabilities!$G:$G,1,FALSE),"")</x:f>
      </x:c>
    </x:row>
    <x:row r="121">
      <x:c r="A121" s="1">
        <x:f t="shared" si="2"/>
        <x:v>30</x:v>
      </x:c>
      <x:c r="B121" t="str">
        <x:f>IF(VLOOKUP($A121,Assets!$A:$C,2,FALSE)=0,"",VLOOKUP($A121,Assets!$A:$C,2,FALSE))</x:f>
      </x:c>
      <x:c r="C121" t="str">
        <x:f>IF(VLOOKUP($A121,Assets!$A:$C,3,FALSE)=0,"",VLOOKUP($A121,Assets!$A:$C,3,FALSE))</x:f>
      </x:c>
      <x:c r="D121" s="16">
        <x:v>3</x:v>
      </x:c>
      <x:c r="E121" s="20" t="str">
        <x:f>_xlfn.IFNA(VLOOKUP(_xlfn.CONCAT("T",E$1,"V",$D121,"A",$A121),Vulnerabilities!$G:$G,1,FALSE),"")</x:f>
      </x:c>
      <x:c r="F121" s="20" t="str">
        <x:f>_xlfn.IFNA(VLOOKUP(_xlfn.CONCAT("T",F$1,"V",$D121,"A",$A121),Vulnerabilities!$G:$G,1,FALSE),"")</x:f>
      </x:c>
      <x:c r="G121" s="20" t="str">
        <x:f>_xlfn.IFNA(VLOOKUP(_xlfn.CONCAT("T",G$1,"V",$D121,"A",$A121),Vulnerabilities!$G:$G,1,FALSE),"")</x:f>
      </x:c>
      <x:c r="H121" s="20" t="str">
        <x:f>_xlfn.IFNA(VLOOKUP(_xlfn.CONCAT("T",H$1,"V",$D121,"A",$A121),Vulnerabilities!$G:$G,1,FALSE),"")</x:f>
      </x:c>
      <x:c r="I121" s="20" t="str">
        <x:f>_xlfn.IFNA(VLOOKUP(_xlfn.CONCAT("T",I$1,"V",$D121,"A",$A121),Vulnerabilities!$G:$G,1,FALSE),"")</x:f>
      </x:c>
      <x:c r="J121" s="20" t="str">
        <x:f>_xlfn.IFNA(VLOOKUP(_xlfn.CONCAT("T",J$1,"V",$D121,"A",$A121),Vulnerabilities!$G:$G,1,FALSE),"")</x:f>
      </x:c>
      <x:c r="K121" s="20" t="str">
        <x:f>_xlfn.IFNA(VLOOKUP(_xlfn.CONCAT("T",K$1,"V",$D121,"A",$A121),Vulnerabilities!$G:$G,1,FALSE),"")</x:f>
      </x:c>
      <x:c r="L121" s="20" t="str">
        <x:f>_xlfn.IFNA(VLOOKUP(_xlfn.CONCAT("T",L$1,"V",$D121,"A",$A121),Vulnerabilities!$G:$G,1,FALSE),"")</x:f>
      </x:c>
      <x:c r="M121" s="20" t="str">
        <x:f>_xlfn.IFNA(VLOOKUP(_xlfn.CONCAT("T",M$1,"V",$D121,"A",$A121),Vulnerabilities!$G:$G,1,FALSE),"")</x:f>
      </x:c>
      <x:c r="N121" s="20" t="str">
        <x:f>_xlfn.IFNA(VLOOKUP(_xlfn.CONCAT("T",N$1,"V",$D121,"A",$A121),Vulnerabilities!$G:$G,1,FALSE),"")</x:f>
      </x:c>
      <x:c r="O121" s="20" t="str">
        <x:f>_xlfn.IFNA(VLOOKUP(_xlfn.CONCAT("T",O$1,"V",$D121,"A",$A121),Vulnerabilities!$G:$G,1,FALSE),"")</x:f>
      </x:c>
      <x:c r="P121" s="16" t="str">
        <x:f>_xlfn.IFNA(VLOOKUP(_xlfn.CONCAT("T",P$1,"V",$D121,"A",$A121),Vulnerabilities!$G:$G,1,FALSE),"")</x:f>
      </x:c>
    </x:row>
    <x:row r="122">
      <x:c r="A122" s="11">
        <x:f t="shared" si="2"/>
        <x:v>30</x:v>
      </x:c>
      <x:c r="B122" s="12" t="str">
        <x:f>IF(VLOOKUP($A122,Assets!$A:$C,2,FALSE)=0,"",VLOOKUP($A122,Assets!$A:$C,2,FALSE))</x:f>
      </x:c>
      <x:c r="C122" s="12" t="str">
        <x:f>IF(VLOOKUP($A122,Assets!$A:$C,3,FALSE)=0,"",VLOOKUP($A122,Assets!$A:$C,3,FALSE))</x:f>
      </x:c>
      <x:c r="D122" s="17">
        <x:v>4</x:v>
      </x:c>
      <x:c r="E122" s="21" t="str">
        <x:f>_xlfn.IFNA(VLOOKUP(_xlfn.CONCAT("T",E$1,"V",$D122,"A",$A122),Vulnerabilities!$G:$G,1,FALSE),"")</x:f>
      </x:c>
      <x:c r="F122" s="21" t="str">
        <x:f>_xlfn.IFNA(VLOOKUP(_xlfn.CONCAT("T",F$1,"V",$D122,"A",$A122),Vulnerabilities!$G:$G,1,FALSE),"")</x:f>
      </x:c>
      <x:c r="G122" s="21" t="str">
        <x:f>_xlfn.IFNA(VLOOKUP(_xlfn.CONCAT("T",G$1,"V",$D122,"A",$A122),Vulnerabilities!$G:$G,1,FALSE),"")</x:f>
      </x:c>
      <x:c r="H122" s="21" t="str">
        <x:f>_xlfn.IFNA(VLOOKUP(_xlfn.CONCAT("T",H$1,"V",$D122,"A",$A122),Vulnerabilities!$G:$G,1,FALSE),"")</x:f>
      </x:c>
      <x:c r="I122" s="21" t="str">
        <x:f>_xlfn.IFNA(VLOOKUP(_xlfn.CONCAT("T",I$1,"V",$D122,"A",$A122),Vulnerabilities!$G:$G,1,FALSE),"")</x:f>
      </x:c>
      <x:c r="J122" s="21" t="str">
        <x:f>_xlfn.IFNA(VLOOKUP(_xlfn.CONCAT("T",J$1,"V",$D122,"A",$A122),Vulnerabilities!$G:$G,1,FALSE),"")</x:f>
      </x:c>
      <x:c r="K122" s="21" t="str">
        <x:f>_xlfn.IFNA(VLOOKUP(_xlfn.CONCAT("T",K$1,"V",$D122,"A",$A122),Vulnerabilities!$G:$G,1,FALSE),"")</x:f>
      </x:c>
      <x:c r="L122" s="21" t="str">
        <x:f>_xlfn.IFNA(VLOOKUP(_xlfn.CONCAT("T",L$1,"V",$D122,"A",$A122),Vulnerabilities!$G:$G,1,FALSE),"")</x:f>
      </x:c>
      <x:c r="M122" s="21" t="str">
        <x:f>_xlfn.IFNA(VLOOKUP(_xlfn.CONCAT("T",M$1,"V",$D122,"A",$A122),Vulnerabilities!$G:$G,1,FALSE),"")</x:f>
      </x:c>
      <x:c r="N122" s="21" t="str">
        <x:f>_xlfn.IFNA(VLOOKUP(_xlfn.CONCAT("T",N$1,"V",$D122,"A",$A122),Vulnerabilities!$G:$G,1,FALSE),"")</x:f>
      </x:c>
      <x:c r="O122" s="21" t="str">
        <x:f>_xlfn.IFNA(VLOOKUP(_xlfn.CONCAT("T",O$1,"V",$D122,"A",$A122),Vulnerabilities!$G:$G,1,FALSE),"")</x:f>
      </x:c>
      <x:c r="P122" s="17" t="str">
        <x:f>_xlfn.IFNA(VLOOKUP(_xlfn.CONCAT("T",P$1,"V",$D122,"A",$A122),Vulnerabilities!$G:$G,1,FALSE),"")</x:f>
      </x:c>
    </x:row>
    <x:row r="123">
      <x:c r="A123" s="1">
        <x:f t="shared" si="2"/>
        <x:v>31</x:v>
      </x:c>
      <x:c r="B123" t="str">
        <x:f>IF(VLOOKUP($A123,Assets!$A:$C,2,FALSE)=0,"",VLOOKUP($A123,Assets!$A:$C,2,FALSE))</x:f>
      </x:c>
      <x:c r="C123" t="str">
        <x:f>IF(VLOOKUP($A123,Assets!$A:$C,3,FALSE)=0,"",VLOOKUP($A123,Assets!$A:$C,3,FALSE))</x:f>
      </x:c>
      <x:c r="D123" s="16">
        <x:v>1</x:v>
      </x:c>
      <x:c r="E123" s="20" t="str">
        <x:f>_xlfn.IFNA(VLOOKUP(_xlfn.CONCAT("T",E$1,"V",$D123,"A",$A123),Vulnerabilities!$G:$G,1,FALSE),"")</x:f>
      </x:c>
      <x:c r="F123" s="20" t="str">
        <x:f>_xlfn.IFNA(VLOOKUP(_xlfn.CONCAT("T",F$1,"V",$D123,"A",$A123),Vulnerabilities!$G:$G,1,FALSE),"")</x:f>
      </x:c>
      <x:c r="G123" s="20" t="str">
        <x:f>_xlfn.IFNA(VLOOKUP(_xlfn.CONCAT("T",G$1,"V",$D123,"A",$A123),Vulnerabilities!$G:$G,1,FALSE),"")</x:f>
      </x:c>
      <x:c r="H123" s="20" t="str">
        <x:f>_xlfn.IFNA(VLOOKUP(_xlfn.CONCAT("T",H$1,"V",$D123,"A",$A123),Vulnerabilities!$G:$G,1,FALSE),"")</x:f>
      </x:c>
      <x:c r="I123" s="20" t="str">
        <x:f>_xlfn.IFNA(VLOOKUP(_xlfn.CONCAT("T",I$1,"V",$D123,"A",$A123),Vulnerabilities!$G:$G,1,FALSE),"")</x:f>
      </x:c>
      <x:c r="J123" s="20" t="str">
        <x:f>_xlfn.IFNA(VLOOKUP(_xlfn.CONCAT("T",J$1,"V",$D123,"A",$A123),Vulnerabilities!$G:$G,1,FALSE),"")</x:f>
      </x:c>
      <x:c r="K123" s="20" t="str">
        <x:f>_xlfn.IFNA(VLOOKUP(_xlfn.CONCAT("T",K$1,"V",$D123,"A",$A123),Vulnerabilities!$G:$G,1,FALSE),"")</x:f>
      </x:c>
      <x:c r="L123" s="20" t="str">
        <x:f>_xlfn.IFNA(VLOOKUP(_xlfn.CONCAT("T",L$1,"V",$D123,"A",$A123),Vulnerabilities!$G:$G,1,FALSE),"")</x:f>
      </x:c>
      <x:c r="M123" s="20" t="str">
        <x:f>_xlfn.IFNA(VLOOKUP(_xlfn.CONCAT("T",M$1,"V",$D123,"A",$A123),Vulnerabilities!$G:$G,1,FALSE),"")</x:f>
      </x:c>
      <x:c r="N123" s="20" t="str">
        <x:f>_xlfn.IFNA(VLOOKUP(_xlfn.CONCAT("T",N$1,"V",$D123,"A",$A123),Vulnerabilities!$G:$G,1,FALSE),"")</x:f>
      </x:c>
      <x:c r="O123" s="20" t="str">
        <x:f>_xlfn.IFNA(VLOOKUP(_xlfn.CONCAT("T",O$1,"V",$D123,"A",$A123),Vulnerabilities!$G:$G,1,FALSE),"")</x:f>
      </x:c>
      <x:c r="P123" s="16" t="str">
        <x:f>_xlfn.IFNA(VLOOKUP(_xlfn.CONCAT("T",P$1,"V",$D123,"A",$A123),Vulnerabilities!$G:$G,1,FALSE),"")</x:f>
      </x:c>
    </x:row>
    <x:row r="124">
      <x:c r="A124" s="1">
        <x:f t="shared" si="2"/>
        <x:v>31</x:v>
      </x:c>
      <x:c r="B124" t="str">
        <x:f>IF(VLOOKUP($A124,Assets!$A:$C,2,FALSE)=0,"",VLOOKUP($A124,Assets!$A:$C,2,FALSE))</x:f>
      </x:c>
      <x:c r="C124" t="str">
        <x:f>IF(VLOOKUP($A124,Assets!$A:$C,3,FALSE)=0,"",VLOOKUP($A124,Assets!$A:$C,3,FALSE))</x:f>
      </x:c>
      <x:c r="D124" s="16">
        <x:v>2</x:v>
      </x:c>
      <x:c r="E124" s="20" t="str">
        <x:f>_xlfn.IFNA(VLOOKUP(_xlfn.CONCAT("T",E$1,"V",$D124,"A",$A124),Vulnerabilities!$G:$G,1,FALSE),"")</x:f>
      </x:c>
      <x:c r="F124" s="20" t="str">
        <x:f>_xlfn.IFNA(VLOOKUP(_xlfn.CONCAT("T",F$1,"V",$D124,"A",$A124),Vulnerabilities!$G:$G,1,FALSE),"")</x:f>
      </x:c>
      <x:c r="G124" s="20" t="str">
        <x:f>_xlfn.IFNA(VLOOKUP(_xlfn.CONCAT("T",G$1,"V",$D124,"A",$A124),Vulnerabilities!$G:$G,1,FALSE),"")</x:f>
      </x:c>
      <x:c r="H124" s="20" t="str">
        <x:f>_xlfn.IFNA(VLOOKUP(_xlfn.CONCAT("T",H$1,"V",$D124,"A",$A124),Vulnerabilities!$G:$G,1,FALSE),"")</x:f>
      </x:c>
      <x:c r="I124" s="20" t="str">
        <x:f>_xlfn.IFNA(VLOOKUP(_xlfn.CONCAT("T",I$1,"V",$D124,"A",$A124),Vulnerabilities!$G:$G,1,FALSE),"")</x:f>
      </x:c>
      <x:c r="J124" s="20" t="str">
        <x:f>_xlfn.IFNA(VLOOKUP(_xlfn.CONCAT("T",J$1,"V",$D124,"A",$A124),Vulnerabilities!$G:$G,1,FALSE),"")</x:f>
      </x:c>
      <x:c r="K124" s="20" t="str">
        <x:f>_xlfn.IFNA(VLOOKUP(_xlfn.CONCAT("T",K$1,"V",$D124,"A",$A124),Vulnerabilities!$G:$G,1,FALSE),"")</x:f>
      </x:c>
      <x:c r="L124" s="20" t="str">
        <x:f>_xlfn.IFNA(VLOOKUP(_xlfn.CONCAT("T",L$1,"V",$D124,"A",$A124),Vulnerabilities!$G:$G,1,FALSE),"")</x:f>
      </x:c>
      <x:c r="M124" s="20" t="str">
        <x:f>_xlfn.IFNA(VLOOKUP(_xlfn.CONCAT("T",M$1,"V",$D124,"A",$A124),Vulnerabilities!$G:$G,1,FALSE),"")</x:f>
      </x:c>
      <x:c r="N124" s="20" t="str">
        <x:f>_xlfn.IFNA(VLOOKUP(_xlfn.CONCAT("T",N$1,"V",$D124,"A",$A124),Vulnerabilities!$G:$G,1,FALSE),"")</x:f>
      </x:c>
      <x:c r="O124" s="20" t="str">
        <x:f>_xlfn.IFNA(VLOOKUP(_xlfn.CONCAT("T",O$1,"V",$D124,"A",$A124),Vulnerabilities!$G:$G,1,FALSE),"")</x:f>
      </x:c>
      <x:c r="P124" s="16" t="str">
        <x:f>_xlfn.IFNA(VLOOKUP(_xlfn.CONCAT("T",P$1,"V",$D124,"A",$A124),Vulnerabilities!$G:$G,1,FALSE),"")</x:f>
      </x:c>
    </x:row>
    <x:row r="125">
      <x:c r="A125" s="1">
        <x:f t="shared" si="2"/>
        <x:v>31</x:v>
      </x:c>
      <x:c r="B125" t="str">
        <x:f>IF(VLOOKUP($A125,Assets!$A:$C,2,FALSE)=0,"",VLOOKUP($A125,Assets!$A:$C,2,FALSE))</x:f>
      </x:c>
      <x:c r="C125" t="str">
        <x:f>IF(VLOOKUP($A125,Assets!$A:$C,3,FALSE)=0,"",VLOOKUP($A125,Assets!$A:$C,3,FALSE))</x:f>
      </x:c>
      <x:c r="D125" s="16">
        <x:v>3</x:v>
      </x:c>
      <x:c r="E125" s="20" t="str">
        <x:f>_xlfn.IFNA(VLOOKUP(_xlfn.CONCAT("T",E$1,"V",$D125,"A",$A125),Vulnerabilities!$G:$G,1,FALSE),"")</x:f>
      </x:c>
      <x:c r="F125" s="20" t="str">
        <x:f>_xlfn.IFNA(VLOOKUP(_xlfn.CONCAT("T",F$1,"V",$D125,"A",$A125),Vulnerabilities!$G:$G,1,FALSE),"")</x:f>
      </x:c>
      <x:c r="G125" s="20" t="str">
        <x:f>_xlfn.IFNA(VLOOKUP(_xlfn.CONCAT("T",G$1,"V",$D125,"A",$A125),Vulnerabilities!$G:$G,1,FALSE),"")</x:f>
      </x:c>
      <x:c r="H125" s="20" t="str">
        <x:f>_xlfn.IFNA(VLOOKUP(_xlfn.CONCAT("T",H$1,"V",$D125,"A",$A125),Vulnerabilities!$G:$G,1,FALSE),"")</x:f>
      </x:c>
      <x:c r="I125" s="20" t="str">
        <x:f>_xlfn.IFNA(VLOOKUP(_xlfn.CONCAT("T",I$1,"V",$D125,"A",$A125),Vulnerabilities!$G:$G,1,FALSE),"")</x:f>
      </x:c>
      <x:c r="J125" s="20" t="str">
        <x:f>_xlfn.IFNA(VLOOKUP(_xlfn.CONCAT("T",J$1,"V",$D125,"A",$A125),Vulnerabilities!$G:$G,1,FALSE),"")</x:f>
      </x:c>
      <x:c r="K125" s="20" t="str">
        <x:f>_xlfn.IFNA(VLOOKUP(_xlfn.CONCAT("T",K$1,"V",$D125,"A",$A125),Vulnerabilities!$G:$G,1,FALSE),"")</x:f>
      </x:c>
      <x:c r="L125" s="20" t="str">
        <x:f>_xlfn.IFNA(VLOOKUP(_xlfn.CONCAT("T",L$1,"V",$D125,"A",$A125),Vulnerabilities!$G:$G,1,FALSE),"")</x:f>
      </x:c>
      <x:c r="M125" s="20" t="str">
        <x:f>_xlfn.IFNA(VLOOKUP(_xlfn.CONCAT("T",M$1,"V",$D125,"A",$A125),Vulnerabilities!$G:$G,1,FALSE),"")</x:f>
      </x:c>
      <x:c r="N125" s="20" t="str">
        <x:f>_xlfn.IFNA(VLOOKUP(_xlfn.CONCAT("T",N$1,"V",$D125,"A",$A125),Vulnerabilities!$G:$G,1,FALSE),"")</x:f>
      </x:c>
      <x:c r="O125" s="20" t="str">
        <x:f>_xlfn.IFNA(VLOOKUP(_xlfn.CONCAT("T",O$1,"V",$D125,"A",$A125),Vulnerabilities!$G:$G,1,FALSE),"")</x:f>
      </x:c>
      <x:c r="P125" s="16" t="str">
        <x:f>_xlfn.IFNA(VLOOKUP(_xlfn.CONCAT("T",P$1,"V",$D125,"A",$A125),Vulnerabilities!$G:$G,1,FALSE),"")</x:f>
      </x:c>
    </x:row>
    <x:row r="126">
      <x:c r="A126" s="11">
        <x:f t="shared" si="2"/>
        <x:v>31</x:v>
      </x:c>
      <x:c r="B126" s="12" t="str">
        <x:f>IF(VLOOKUP($A126,Assets!$A:$C,2,FALSE)=0,"",VLOOKUP($A126,Assets!$A:$C,2,FALSE))</x:f>
      </x:c>
      <x:c r="C126" s="12" t="str">
        <x:f>IF(VLOOKUP($A126,Assets!$A:$C,3,FALSE)=0,"",VLOOKUP($A126,Assets!$A:$C,3,FALSE))</x:f>
      </x:c>
      <x:c r="D126" s="17">
        <x:v>4</x:v>
      </x:c>
      <x:c r="E126" s="21" t="str">
        <x:f>_xlfn.IFNA(VLOOKUP(_xlfn.CONCAT("T",E$1,"V",$D126,"A",$A126),Vulnerabilities!$G:$G,1,FALSE),"")</x:f>
      </x:c>
      <x:c r="F126" s="21" t="str">
        <x:f>_xlfn.IFNA(VLOOKUP(_xlfn.CONCAT("T",F$1,"V",$D126,"A",$A126),Vulnerabilities!$G:$G,1,FALSE),"")</x:f>
      </x:c>
      <x:c r="G126" s="21" t="str">
        <x:f>_xlfn.IFNA(VLOOKUP(_xlfn.CONCAT("T",G$1,"V",$D126,"A",$A126),Vulnerabilities!$G:$G,1,FALSE),"")</x:f>
      </x:c>
      <x:c r="H126" s="21" t="str">
        <x:f>_xlfn.IFNA(VLOOKUP(_xlfn.CONCAT("T",H$1,"V",$D126,"A",$A126),Vulnerabilities!$G:$G,1,FALSE),"")</x:f>
      </x:c>
      <x:c r="I126" s="21" t="str">
        <x:f>_xlfn.IFNA(VLOOKUP(_xlfn.CONCAT("T",I$1,"V",$D126,"A",$A126),Vulnerabilities!$G:$G,1,FALSE),"")</x:f>
      </x:c>
      <x:c r="J126" s="21" t="str">
        <x:f>_xlfn.IFNA(VLOOKUP(_xlfn.CONCAT("T",J$1,"V",$D126,"A",$A126),Vulnerabilities!$G:$G,1,FALSE),"")</x:f>
      </x:c>
      <x:c r="K126" s="21" t="str">
        <x:f>_xlfn.IFNA(VLOOKUP(_xlfn.CONCAT("T",K$1,"V",$D126,"A",$A126),Vulnerabilities!$G:$G,1,FALSE),"")</x:f>
      </x:c>
      <x:c r="L126" s="21" t="str">
        <x:f>_xlfn.IFNA(VLOOKUP(_xlfn.CONCAT("T",L$1,"V",$D126,"A",$A126),Vulnerabilities!$G:$G,1,FALSE),"")</x:f>
      </x:c>
      <x:c r="M126" s="21" t="str">
        <x:f>_xlfn.IFNA(VLOOKUP(_xlfn.CONCAT("T",M$1,"V",$D126,"A",$A126),Vulnerabilities!$G:$G,1,FALSE),"")</x:f>
      </x:c>
      <x:c r="N126" s="21" t="str">
        <x:f>_xlfn.IFNA(VLOOKUP(_xlfn.CONCAT("T",N$1,"V",$D126,"A",$A126),Vulnerabilities!$G:$G,1,FALSE),"")</x:f>
      </x:c>
      <x:c r="O126" s="21" t="str">
        <x:f>_xlfn.IFNA(VLOOKUP(_xlfn.CONCAT("T",O$1,"V",$D126,"A",$A126),Vulnerabilities!$G:$G,1,FALSE),"")</x:f>
      </x:c>
      <x:c r="P126" s="17" t="str">
        <x:f>_xlfn.IFNA(VLOOKUP(_xlfn.CONCAT("T",P$1,"V",$D126,"A",$A126),Vulnerabilities!$G:$G,1,FALSE),"")</x:f>
      </x:c>
    </x:row>
    <x:row r="127">
      <x:c r="A127" s="1">
        <x:f t="shared" si="2"/>
        <x:v>32</x:v>
      </x:c>
      <x:c r="B127" t="str">
        <x:f>IF(VLOOKUP($A127,Assets!$A:$C,2,FALSE)=0,"",VLOOKUP($A127,Assets!$A:$C,2,FALSE))</x:f>
      </x:c>
      <x:c r="C127" t="str">
        <x:f>IF(VLOOKUP($A127,Assets!$A:$C,3,FALSE)=0,"",VLOOKUP($A127,Assets!$A:$C,3,FALSE))</x:f>
      </x:c>
      <x:c r="D127" s="16">
        <x:v>1</x:v>
      </x:c>
      <x:c r="E127" s="20" t="str">
        <x:f>_xlfn.IFNA(VLOOKUP(_xlfn.CONCAT("T",E$1,"V",$D127,"A",$A127),Vulnerabilities!$G:$G,1,FALSE),"")</x:f>
      </x:c>
      <x:c r="F127" s="20" t="str">
        <x:f>_xlfn.IFNA(VLOOKUP(_xlfn.CONCAT("T",F$1,"V",$D127,"A",$A127),Vulnerabilities!$G:$G,1,FALSE),"")</x:f>
      </x:c>
      <x:c r="G127" s="20" t="str">
        <x:f>_xlfn.IFNA(VLOOKUP(_xlfn.CONCAT("T",G$1,"V",$D127,"A",$A127),Vulnerabilities!$G:$G,1,FALSE),"")</x:f>
      </x:c>
      <x:c r="H127" s="20" t="str">
        <x:f>_xlfn.IFNA(VLOOKUP(_xlfn.CONCAT("T",H$1,"V",$D127,"A",$A127),Vulnerabilities!$G:$G,1,FALSE),"")</x:f>
      </x:c>
      <x:c r="I127" s="20" t="str">
        <x:f>_xlfn.IFNA(VLOOKUP(_xlfn.CONCAT("T",I$1,"V",$D127,"A",$A127),Vulnerabilities!$G:$G,1,FALSE),"")</x:f>
      </x:c>
      <x:c r="J127" s="20" t="str">
        <x:f>_xlfn.IFNA(VLOOKUP(_xlfn.CONCAT("T",J$1,"V",$D127,"A",$A127),Vulnerabilities!$G:$G,1,FALSE),"")</x:f>
      </x:c>
      <x:c r="K127" s="20" t="str">
        <x:f>_xlfn.IFNA(VLOOKUP(_xlfn.CONCAT("T",K$1,"V",$D127,"A",$A127),Vulnerabilities!$G:$G,1,FALSE),"")</x:f>
      </x:c>
      <x:c r="L127" s="20" t="str">
        <x:f>_xlfn.IFNA(VLOOKUP(_xlfn.CONCAT("T",L$1,"V",$D127,"A",$A127),Vulnerabilities!$G:$G,1,FALSE),"")</x:f>
      </x:c>
      <x:c r="M127" s="20" t="str">
        <x:f>_xlfn.IFNA(VLOOKUP(_xlfn.CONCAT("T",M$1,"V",$D127,"A",$A127),Vulnerabilities!$G:$G,1,FALSE),"")</x:f>
      </x:c>
      <x:c r="N127" s="20" t="str">
        <x:f>_xlfn.IFNA(VLOOKUP(_xlfn.CONCAT("T",N$1,"V",$D127,"A",$A127),Vulnerabilities!$G:$G,1,FALSE),"")</x:f>
      </x:c>
      <x:c r="O127" s="20" t="str">
        <x:f>_xlfn.IFNA(VLOOKUP(_xlfn.CONCAT("T",O$1,"V",$D127,"A",$A127),Vulnerabilities!$G:$G,1,FALSE),"")</x:f>
      </x:c>
      <x:c r="P127" s="16" t="str">
        <x:f>_xlfn.IFNA(VLOOKUP(_xlfn.CONCAT("T",P$1,"V",$D127,"A",$A127),Vulnerabilities!$G:$G,1,FALSE),"")</x:f>
      </x:c>
    </x:row>
    <x:row r="128">
      <x:c r="A128" s="1">
        <x:f t="shared" si="2"/>
        <x:v>32</x:v>
      </x:c>
      <x:c r="B128" t="str">
        <x:f>IF(VLOOKUP($A128,Assets!$A:$C,2,FALSE)=0,"",VLOOKUP($A128,Assets!$A:$C,2,FALSE))</x:f>
      </x:c>
      <x:c r="C128" t="str">
        <x:f>IF(VLOOKUP($A128,Assets!$A:$C,3,FALSE)=0,"",VLOOKUP($A128,Assets!$A:$C,3,FALSE))</x:f>
      </x:c>
      <x:c r="D128" s="16">
        <x:v>2</x:v>
      </x:c>
      <x:c r="E128" s="20" t="str">
        <x:f>_xlfn.IFNA(VLOOKUP(_xlfn.CONCAT("T",E$1,"V",$D128,"A",$A128),Vulnerabilities!$G:$G,1,FALSE),"")</x:f>
      </x:c>
      <x:c r="F128" s="20" t="str">
        <x:f>_xlfn.IFNA(VLOOKUP(_xlfn.CONCAT("T",F$1,"V",$D128,"A",$A128),Vulnerabilities!$G:$G,1,FALSE),"")</x:f>
      </x:c>
      <x:c r="G128" s="20" t="str">
        <x:f>_xlfn.IFNA(VLOOKUP(_xlfn.CONCAT("T",G$1,"V",$D128,"A",$A128),Vulnerabilities!$G:$G,1,FALSE),"")</x:f>
      </x:c>
      <x:c r="H128" s="20" t="str">
        <x:f>_xlfn.IFNA(VLOOKUP(_xlfn.CONCAT("T",H$1,"V",$D128,"A",$A128),Vulnerabilities!$G:$G,1,FALSE),"")</x:f>
      </x:c>
      <x:c r="I128" s="20" t="str">
        <x:f>_xlfn.IFNA(VLOOKUP(_xlfn.CONCAT("T",I$1,"V",$D128,"A",$A128),Vulnerabilities!$G:$G,1,FALSE),"")</x:f>
      </x:c>
      <x:c r="J128" s="20" t="str">
        <x:f>_xlfn.IFNA(VLOOKUP(_xlfn.CONCAT("T",J$1,"V",$D128,"A",$A128),Vulnerabilities!$G:$G,1,FALSE),"")</x:f>
      </x:c>
      <x:c r="K128" s="20" t="str">
        <x:f>_xlfn.IFNA(VLOOKUP(_xlfn.CONCAT("T",K$1,"V",$D128,"A",$A128),Vulnerabilities!$G:$G,1,FALSE),"")</x:f>
      </x:c>
      <x:c r="L128" s="20" t="str">
        <x:f>_xlfn.IFNA(VLOOKUP(_xlfn.CONCAT("T",L$1,"V",$D128,"A",$A128),Vulnerabilities!$G:$G,1,FALSE),"")</x:f>
      </x:c>
      <x:c r="M128" s="20" t="str">
        <x:f>_xlfn.IFNA(VLOOKUP(_xlfn.CONCAT("T",M$1,"V",$D128,"A",$A128),Vulnerabilities!$G:$G,1,FALSE),"")</x:f>
      </x:c>
      <x:c r="N128" s="20" t="str">
        <x:f>_xlfn.IFNA(VLOOKUP(_xlfn.CONCAT("T",N$1,"V",$D128,"A",$A128),Vulnerabilities!$G:$G,1,FALSE),"")</x:f>
      </x:c>
      <x:c r="O128" s="20" t="str">
        <x:f>_xlfn.IFNA(VLOOKUP(_xlfn.CONCAT("T",O$1,"V",$D128,"A",$A128),Vulnerabilities!$G:$G,1,FALSE),"")</x:f>
      </x:c>
      <x:c r="P128" s="16" t="str">
        <x:f>_xlfn.IFNA(VLOOKUP(_xlfn.CONCAT("T",P$1,"V",$D128,"A",$A128),Vulnerabilities!$G:$G,1,FALSE),"")</x:f>
      </x:c>
    </x:row>
    <x:row r="129">
      <x:c r="A129" s="1">
        <x:f t="shared" si="2"/>
        <x:v>32</x:v>
      </x:c>
      <x:c r="B129" t="str">
        <x:f>IF(VLOOKUP($A129,Assets!$A:$C,2,FALSE)=0,"",VLOOKUP($A129,Assets!$A:$C,2,FALSE))</x:f>
      </x:c>
      <x:c r="C129" t="str">
        <x:f>IF(VLOOKUP($A129,Assets!$A:$C,3,FALSE)=0,"",VLOOKUP($A129,Assets!$A:$C,3,FALSE))</x:f>
      </x:c>
      <x:c r="D129" s="16">
        <x:v>3</x:v>
      </x:c>
      <x:c r="E129" s="20" t="str">
        <x:f>_xlfn.IFNA(VLOOKUP(_xlfn.CONCAT("T",E$1,"V",$D129,"A",$A129),Vulnerabilities!$G:$G,1,FALSE),"")</x:f>
      </x:c>
      <x:c r="F129" s="20" t="str">
        <x:f>_xlfn.IFNA(VLOOKUP(_xlfn.CONCAT("T",F$1,"V",$D129,"A",$A129),Vulnerabilities!$G:$G,1,FALSE),"")</x:f>
      </x:c>
      <x:c r="G129" s="20" t="str">
        <x:f>_xlfn.IFNA(VLOOKUP(_xlfn.CONCAT("T",G$1,"V",$D129,"A",$A129),Vulnerabilities!$G:$G,1,FALSE),"")</x:f>
      </x:c>
      <x:c r="H129" s="20" t="str">
        <x:f>_xlfn.IFNA(VLOOKUP(_xlfn.CONCAT("T",H$1,"V",$D129,"A",$A129),Vulnerabilities!$G:$G,1,FALSE),"")</x:f>
      </x:c>
      <x:c r="I129" s="20" t="str">
        <x:f>_xlfn.IFNA(VLOOKUP(_xlfn.CONCAT("T",I$1,"V",$D129,"A",$A129),Vulnerabilities!$G:$G,1,FALSE),"")</x:f>
      </x:c>
      <x:c r="J129" s="20" t="str">
        <x:f>_xlfn.IFNA(VLOOKUP(_xlfn.CONCAT("T",J$1,"V",$D129,"A",$A129),Vulnerabilities!$G:$G,1,FALSE),"")</x:f>
      </x:c>
      <x:c r="K129" s="20" t="str">
        <x:f>_xlfn.IFNA(VLOOKUP(_xlfn.CONCAT("T",K$1,"V",$D129,"A",$A129),Vulnerabilities!$G:$G,1,FALSE),"")</x:f>
      </x:c>
      <x:c r="L129" s="20" t="str">
        <x:f>_xlfn.IFNA(VLOOKUP(_xlfn.CONCAT("T",L$1,"V",$D129,"A",$A129),Vulnerabilities!$G:$G,1,FALSE),"")</x:f>
      </x:c>
      <x:c r="M129" s="20" t="str">
        <x:f>_xlfn.IFNA(VLOOKUP(_xlfn.CONCAT("T",M$1,"V",$D129,"A",$A129),Vulnerabilities!$G:$G,1,FALSE),"")</x:f>
      </x:c>
      <x:c r="N129" s="20" t="str">
        <x:f>_xlfn.IFNA(VLOOKUP(_xlfn.CONCAT("T",N$1,"V",$D129,"A",$A129),Vulnerabilities!$G:$G,1,FALSE),"")</x:f>
      </x:c>
      <x:c r="O129" s="20" t="str">
        <x:f>_xlfn.IFNA(VLOOKUP(_xlfn.CONCAT("T",O$1,"V",$D129,"A",$A129),Vulnerabilities!$G:$G,1,FALSE),"")</x:f>
      </x:c>
      <x:c r="P129" s="16" t="str">
        <x:f>_xlfn.IFNA(VLOOKUP(_xlfn.CONCAT("T",P$1,"V",$D129,"A",$A129),Vulnerabilities!$G:$G,1,FALSE),"")</x:f>
      </x:c>
    </x:row>
    <x:row r="130">
      <x:c r="A130" s="11">
        <x:f t="shared" si="2"/>
        <x:v>32</x:v>
      </x:c>
      <x:c r="B130" s="12" t="str">
        <x:f>IF(VLOOKUP($A130,Assets!$A:$C,2,FALSE)=0,"",VLOOKUP($A130,Assets!$A:$C,2,FALSE))</x:f>
      </x:c>
      <x:c r="C130" s="12" t="str">
        <x:f>IF(VLOOKUP($A130,Assets!$A:$C,3,FALSE)=0,"",VLOOKUP($A130,Assets!$A:$C,3,FALSE))</x:f>
      </x:c>
      <x:c r="D130" s="17">
        <x:v>4</x:v>
      </x:c>
      <x:c r="E130" s="21" t="str">
        <x:f>_xlfn.IFNA(VLOOKUP(_xlfn.CONCAT("T",E$1,"V",$D130,"A",$A130),Vulnerabilities!$G:$G,1,FALSE),"")</x:f>
      </x:c>
      <x:c r="F130" s="21" t="str">
        <x:f>_xlfn.IFNA(VLOOKUP(_xlfn.CONCAT("T",F$1,"V",$D130,"A",$A130),Vulnerabilities!$G:$G,1,FALSE),"")</x:f>
      </x:c>
      <x:c r="G130" s="21" t="str">
        <x:f>_xlfn.IFNA(VLOOKUP(_xlfn.CONCAT("T",G$1,"V",$D130,"A",$A130),Vulnerabilities!$G:$G,1,FALSE),"")</x:f>
      </x:c>
      <x:c r="H130" s="21" t="str">
        <x:f>_xlfn.IFNA(VLOOKUP(_xlfn.CONCAT("T",H$1,"V",$D130,"A",$A130),Vulnerabilities!$G:$G,1,FALSE),"")</x:f>
      </x:c>
      <x:c r="I130" s="21" t="str">
        <x:f>_xlfn.IFNA(VLOOKUP(_xlfn.CONCAT("T",I$1,"V",$D130,"A",$A130),Vulnerabilities!$G:$G,1,FALSE),"")</x:f>
      </x:c>
      <x:c r="J130" s="21" t="str">
        <x:f>_xlfn.IFNA(VLOOKUP(_xlfn.CONCAT("T",J$1,"V",$D130,"A",$A130),Vulnerabilities!$G:$G,1,FALSE),"")</x:f>
      </x:c>
      <x:c r="K130" s="21" t="str">
        <x:f>_xlfn.IFNA(VLOOKUP(_xlfn.CONCAT("T",K$1,"V",$D130,"A",$A130),Vulnerabilities!$G:$G,1,FALSE),"")</x:f>
      </x:c>
      <x:c r="L130" s="21" t="str">
        <x:f>_xlfn.IFNA(VLOOKUP(_xlfn.CONCAT("T",L$1,"V",$D130,"A",$A130),Vulnerabilities!$G:$G,1,FALSE),"")</x:f>
      </x:c>
      <x:c r="M130" s="21" t="str">
        <x:f>_xlfn.IFNA(VLOOKUP(_xlfn.CONCAT("T",M$1,"V",$D130,"A",$A130),Vulnerabilities!$G:$G,1,FALSE),"")</x:f>
      </x:c>
      <x:c r="N130" s="21" t="str">
        <x:f>_xlfn.IFNA(VLOOKUP(_xlfn.CONCAT("T",N$1,"V",$D130,"A",$A130),Vulnerabilities!$G:$G,1,FALSE),"")</x:f>
      </x:c>
      <x:c r="O130" s="21" t="str">
        <x:f>_xlfn.IFNA(VLOOKUP(_xlfn.CONCAT("T",O$1,"V",$D130,"A",$A130),Vulnerabilities!$G:$G,1,FALSE),"")</x:f>
      </x:c>
      <x:c r="P130" s="17" t="str">
        <x:f>_xlfn.IFNA(VLOOKUP(_xlfn.CONCAT("T",P$1,"V",$D130,"A",$A130),Vulnerabilities!$G:$G,1,FALSE),"")</x:f>
      </x:c>
    </x:row>
    <x:row r="131">
      <x:c r="A131" s="1">
        <x:f t="shared" si="2"/>
        <x:v>33</x:v>
      </x:c>
      <x:c r="B131" t="str">
        <x:f>IF(VLOOKUP($A131,Assets!$A:$C,2,FALSE)=0,"",VLOOKUP($A131,Assets!$A:$C,2,FALSE))</x:f>
      </x:c>
      <x:c r="C131" t="str">
        <x:f>IF(VLOOKUP($A131,Assets!$A:$C,3,FALSE)=0,"",VLOOKUP($A131,Assets!$A:$C,3,FALSE))</x:f>
      </x:c>
      <x:c r="D131" s="16">
        <x:v>1</x:v>
      </x:c>
      <x:c r="E131" s="20" t="str">
        <x:f>_xlfn.IFNA(VLOOKUP(_xlfn.CONCAT("T",E$1,"V",$D131,"A",$A131),Vulnerabilities!$G:$G,1,FALSE),"")</x:f>
      </x:c>
      <x:c r="F131" s="20" t="str">
        <x:f>_xlfn.IFNA(VLOOKUP(_xlfn.CONCAT("T",F$1,"V",$D131,"A",$A131),Vulnerabilities!$G:$G,1,FALSE),"")</x:f>
      </x:c>
      <x:c r="G131" s="20" t="str">
        <x:f>_xlfn.IFNA(VLOOKUP(_xlfn.CONCAT("T",G$1,"V",$D131,"A",$A131),Vulnerabilities!$G:$G,1,FALSE),"")</x:f>
      </x:c>
      <x:c r="H131" s="20" t="str">
        <x:f>_xlfn.IFNA(VLOOKUP(_xlfn.CONCAT("T",H$1,"V",$D131,"A",$A131),Vulnerabilities!$G:$G,1,FALSE),"")</x:f>
      </x:c>
      <x:c r="I131" s="20" t="str">
        <x:f>_xlfn.IFNA(VLOOKUP(_xlfn.CONCAT("T",I$1,"V",$D131,"A",$A131),Vulnerabilities!$G:$G,1,FALSE),"")</x:f>
      </x:c>
      <x:c r="J131" s="20" t="str">
        <x:f>_xlfn.IFNA(VLOOKUP(_xlfn.CONCAT("T",J$1,"V",$D131,"A",$A131),Vulnerabilities!$G:$G,1,FALSE),"")</x:f>
      </x:c>
      <x:c r="K131" s="20" t="str">
        <x:f>_xlfn.IFNA(VLOOKUP(_xlfn.CONCAT("T",K$1,"V",$D131,"A",$A131),Vulnerabilities!$G:$G,1,FALSE),"")</x:f>
      </x:c>
      <x:c r="L131" s="20" t="str">
        <x:f>_xlfn.IFNA(VLOOKUP(_xlfn.CONCAT("T",L$1,"V",$D131,"A",$A131),Vulnerabilities!$G:$G,1,FALSE),"")</x:f>
      </x:c>
      <x:c r="M131" s="20" t="str">
        <x:f>_xlfn.IFNA(VLOOKUP(_xlfn.CONCAT("T",M$1,"V",$D131,"A",$A131),Vulnerabilities!$G:$G,1,FALSE),"")</x:f>
      </x:c>
      <x:c r="N131" s="20" t="str">
        <x:f>_xlfn.IFNA(VLOOKUP(_xlfn.CONCAT("T",N$1,"V",$D131,"A",$A131),Vulnerabilities!$G:$G,1,FALSE),"")</x:f>
      </x:c>
      <x:c r="O131" s="20" t="str">
        <x:f>_xlfn.IFNA(VLOOKUP(_xlfn.CONCAT("T",O$1,"V",$D131,"A",$A131),Vulnerabilities!$G:$G,1,FALSE),"")</x:f>
      </x:c>
      <x:c r="P131" s="16" t="str">
        <x:f>_xlfn.IFNA(VLOOKUP(_xlfn.CONCAT("T",P$1,"V",$D131,"A",$A131),Vulnerabilities!$G:$G,1,FALSE),"")</x:f>
      </x:c>
    </x:row>
    <x:row r="132">
      <x:c r="A132" s="1">
        <x:f t="shared" si="2"/>
        <x:v>33</x:v>
      </x:c>
      <x:c r="B132" t="str">
        <x:f>IF(VLOOKUP($A132,Assets!$A:$C,2,FALSE)=0,"",VLOOKUP($A132,Assets!$A:$C,2,FALSE))</x:f>
      </x:c>
      <x:c r="C132" t="str">
        <x:f>IF(VLOOKUP($A132,Assets!$A:$C,3,FALSE)=0,"",VLOOKUP($A132,Assets!$A:$C,3,FALSE))</x:f>
      </x:c>
      <x:c r="D132" s="16">
        <x:v>2</x:v>
      </x:c>
      <x:c r="E132" s="20" t="str">
        <x:f>_xlfn.IFNA(VLOOKUP(_xlfn.CONCAT("T",E$1,"V",$D132,"A",$A132),Vulnerabilities!$G:$G,1,FALSE),"")</x:f>
      </x:c>
      <x:c r="F132" s="20" t="str">
        <x:f>_xlfn.IFNA(VLOOKUP(_xlfn.CONCAT("T",F$1,"V",$D132,"A",$A132),Vulnerabilities!$G:$G,1,FALSE),"")</x:f>
      </x:c>
      <x:c r="G132" s="20" t="str">
        <x:f>_xlfn.IFNA(VLOOKUP(_xlfn.CONCAT("T",G$1,"V",$D132,"A",$A132),Vulnerabilities!$G:$G,1,FALSE),"")</x:f>
      </x:c>
      <x:c r="H132" s="20" t="str">
        <x:f>_xlfn.IFNA(VLOOKUP(_xlfn.CONCAT("T",H$1,"V",$D132,"A",$A132),Vulnerabilities!$G:$G,1,FALSE),"")</x:f>
      </x:c>
      <x:c r="I132" s="20" t="str">
        <x:f>_xlfn.IFNA(VLOOKUP(_xlfn.CONCAT("T",I$1,"V",$D132,"A",$A132),Vulnerabilities!$G:$G,1,FALSE),"")</x:f>
      </x:c>
      <x:c r="J132" s="20" t="str">
        <x:f>_xlfn.IFNA(VLOOKUP(_xlfn.CONCAT("T",J$1,"V",$D132,"A",$A132),Vulnerabilities!$G:$G,1,FALSE),"")</x:f>
      </x:c>
      <x:c r="K132" s="20" t="str">
        <x:f>_xlfn.IFNA(VLOOKUP(_xlfn.CONCAT("T",K$1,"V",$D132,"A",$A132),Vulnerabilities!$G:$G,1,FALSE),"")</x:f>
      </x:c>
      <x:c r="L132" s="20" t="str">
        <x:f>_xlfn.IFNA(VLOOKUP(_xlfn.CONCAT("T",L$1,"V",$D132,"A",$A132),Vulnerabilities!$G:$G,1,FALSE),"")</x:f>
      </x:c>
      <x:c r="M132" s="20" t="str">
        <x:f>_xlfn.IFNA(VLOOKUP(_xlfn.CONCAT("T",M$1,"V",$D132,"A",$A132),Vulnerabilities!$G:$G,1,FALSE),"")</x:f>
      </x:c>
      <x:c r="N132" s="20" t="str">
        <x:f>_xlfn.IFNA(VLOOKUP(_xlfn.CONCAT("T",N$1,"V",$D132,"A",$A132),Vulnerabilities!$G:$G,1,FALSE),"")</x:f>
      </x:c>
      <x:c r="O132" s="20" t="str">
        <x:f>_xlfn.IFNA(VLOOKUP(_xlfn.CONCAT("T",O$1,"V",$D132,"A",$A132),Vulnerabilities!$G:$G,1,FALSE),"")</x:f>
      </x:c>
      <x:c r="P132" s="16" t="str">
        <x:f>_xlfn.IFNA(VLOOKUP(_xlfn.CONCAT("T",P$1,"V",$D132,"A",$A132),Vulnerabilities!$G:$G,1,FALSE),"")</x:f>
      </x:c>
    </x:row>
    <x:row r="133">
      <x:c r="A133" s="1">
        <x:f t="shared" si="2"/>
        <x:v>33</x:v>
      </x:c>
      <x:c r="B133" t="str">
        <x:f>IF(VLOOKUP($A133,Assets!$A:$C,2,FALSE)=0,"",VLOOKUP($A133,Assets!$A:$C,2,FALSE))</x:f>
      </x:c>
      <x:c r="C133" t="str">
        <x:f>IF(VLOOKUP($A133,Assets!$A:$C,3,FALSE)=0,"",VLOOKUP($A133,Assets!$A:$C,3,FALSE))</x:f>
      </x:c>
      <x:c r="D133" s="16">
        <x:v>3</x:v>
      </x:c>
      <x:c r="E133" s="20" t="str">
        <x:f>_xlfn.IFNA(VLOOKUP(_xlfn.CONCAT("T",E$1,"V",$D133,"A",$A133),Vulnerabilities!$G:$G,1,FALSE),"")</x:f>
      </x:c>
      <x:c r="F133" s="20" t="str">
        <x:f>_xlfn.IFNA(VLOOKUP(_xlfn.CONCAT("T",F$1,"V",$D133,"A",$A133),Vulnerabilities!$G:$G,1,FALSE),"")</x:f>
      </x:c>
      <x:c r="G133" s="20" t="str">
        <x:f>_xlfn.IFNA(VLOOKUP(_xlfn.CONCAT("T",G$1,"V",$D133,"A",$A133),Vulnerabilities!$G:$G,1,FALSE),"")</x:f>
      </x:c>
      <x:c r="H133" s="20" t="str">
        <x:f>_xlfn.IFNA(VLOOKUP(_xlfn.CONCAT("T",H$1,"V",$D133,"A",$A133),Vulnerabilities!$G:$G,1,FALSE),"")</x:f>
      </x:c>
      <x:c r="I133" s="20" t="str">
        <x:f>_xlfn.IFNA(VLOOKUP(_xlfn.CONCAT("T",I$1,"V",$D133,"A",$A133),Vulnerabilities!$G:$G,1,FALSE),"")</x:f>
      </x:c>
      <x:c r="J133" s="20" t="str">
        <x:f>_xlfn.IFNA(VLOOKUP(_xlfn.CONCAT("T",J$1,"V",$D133,"A",$A133),Vulnerabilities!$G:$G,1,FALSE),"")</x:f>
      </x:c>
      <x:c r="K133" s="20" t="str">
        <x:f>_xlfn.IFNA(VLOOKUP(_xlfn.CONCAT("T",K$1,"V",$D133,"A",$A133),Vulnerabilities!$G:$G,1,FALSE),"")</x:f>
      </x:c>
      <x:c r="L133" s="20" t="str">
        <x:f>_xlfn.IFNA(VLOOKUP(_xlfn.CONCAT("T",L$1,"V",$D133,"A",$A133),Vulnerabilities!$G:$G,1,FALSE),"")</x:f>
      </x:c>
      <x:c r="M133" s="20" t="str">
        <x:f>_xlfn.IFNA(VLOOKUP(_xlfn.CONCAT("T",M$1,"V",$D133,"A",$A133),Vulnerabilities!$G:$G,1,FALSE),"")</x:f>
      </x:c>
      <x:c r="N133" s="20" t="str">
        <x:f>_xlfn.IFNA(VLOOKUP(_xlfn.CONCAT("T",N$1,"V",$D133,"A",$A133),Vulnerabilities!$G:$G,1,FALSE),"")</x:f>
      </x:c>
      <x:c r="O133" s="20" t="str">
        <x:f>_xlfn.IFNA(VLOOKUP(_xlfn.CONCAT("T",O$1,"V",$D133,"A",$A133),Vulnerabilities!$G:$G,1,FALSE),"")</x:f>
      </x:c>
      <x:c r="P133" s="16" t="str">
        <x:f>_xlfn.IFNA(VLOOKUP(_xlfn.CONCAT("T",P$1,"V",$D133,"A",$A133),Vulnerabilities!$G:$G,1,FALSE),"")</x:f>
      </x:c>
    </x:row>
    <x:row r="134">
      <x:c r="A134" s="11">
        <x:f t="shared" si="2"/>
        <x:v>33</x:v>
      </x:c>
      <x:c r="B134" s="12" t="str">
        <x:f>IF(VLOOKUP($A134,Assets!$A:$C,2,FALSE)=0,"",VLOOKUP($A134,Assets!$A:$C,2,FALSE))</x:f>
      </x:c>
      <x:c r="C134" s="12" t="str">
        <x:f>IF(VLOOKUP($A134,Assets!$A:$C,3,FALSE)=0,"",VLOOKUP($A134,Assets!$A:$C,3,FALSE))</x:f>
      </x:c>
      <x:c r="D134" s="17">
        <x:v>4</x:v>
      </x:c>
      <x:c r="E134" s="21" t="str">
        <x:f>_xlfn.IFNA(VLOOKUP(_xlfn.CONCAT("T",E$1,"V",$D134,"A",$A134),Vulnerabilities!$G:$G,1,FALSE),"")</x:f>
      </x:c>
      <x:c r="F134" s="21" t="str">
        <x:f>_xlfn.IFNA(VLOOKUP(_xlfn.CONCAT("T",F$1,"V",$D134,"A",$A134),Vulnerabilities!$G:$G,1,FALSE),"")</x:f>
      </x:c>
      <x:c r="G134" s="21" t="str">
        <x:f>_xlfn.IFNA(VLOOKUP(_xlfn.CONCAT("T",G$1,"V",$D134,"A",$A134),Vulnerabilities!$G:$G,1,FALSE),"")</x:f>
      </x:c>
      <x:c r="H134" s="21" t="str">
        <x:f>_xlfn.IFNA(VLOOKUP(_xlfn.CONCAT("T",H$1,"V",$D134,"A",$A134),Vulnerabilities!$G:$G,1,FALSE),"")</x:f>
      </x:c>
      <x:c r="I134" s="21" t="str">
        <x:f>_xlfn.IFNA(VLOOKUP(_xlfn.CONCAT("T",I$1,"V",$D134,"A",$A134),Vulnerabilities!$G:$G,1,FALSE),"")</x:f>
      </x:c>
      <x:c r="J134" s="21" t="str">
        <x:f>_xlfn.IFNA(VLOOKUP(_xlfn.CONCAT("T",J$1,"V",$D134,"A",$A134),Vulnerabilities!$G:$G,1,FALSE),"")</x:f>
      </x:c>
      <x:c r="K134" s="21" t="str">
        <x:f>_xlfn.IFNA(VLOOKUP(_xlfn.CONCAT("T",K$1,"V",$D134,"A",$A134),Vulnerabilities!$G:$G,1,FALSE),"")</x:f>
      </x:c>
      <x:c r="L134" s="21" t="str">
        <x:f>_xlfn.IFNA(VLOOKUP(_xlfn.CONCAT("T",L$1,"V",$D134,"A",$A134),Vulnerabilities!$G:$G,1,FALSE),"")</x:f>
      </x:c>
      <x:c r="M134" s="21" t="str">
        <x:f>_xlfn.IFNA(VLOOKUP(_xlfn.CONCAT("T",M$1,"V",$D134,"A",$A134),Vulnerabilities!$G:$G,1,FALSE),"")</x:f>
      </x:c>
      <x:c r="N134" s="21" t="str">
        <x:f>_xlfn.IFNA(VLOOKUP(_xlfn.CONCAT("T",N$1,"V",$D134,"A",$A134),Vulnerabilities!$G:$G,1,FALSE),"")</x:f>
      </x:c>
      <x:c r="O134" s="21" t="str">
        <x:f>_xlfn.IFNA(VLOOKUP(_xlfn.CONCAT("T",O$1,"V",$D134,"A",$A134),Vulnerabilities!$G:$G,1,FALSE),"")</x:f>
      </x:c>
      <x:c r="P134" s="17" t="str">
        <x:f>_xlfn.IFNA(VLOOKUP(_xlfn.CONCAT("T",P$1,"V",$D134,"A",$A134),Vulnerabilities!$G:$G,1,FALSE),"")</x:f>
      </x:c>
    </x:row>
    <x:row r="135">
      <x:c r="A135" s="1">
        <x:f t="shared" si="2"/>
        <x:v>34</x:v>
      </x:c>
      <x:c r="B135" t="str">
        <x:f>IF(VLOOKUP($A135,Assets!$A:$C,2,FALSE)=0,"",VLOOKUP($A135,Assets!$A:$C,2,FALSE))</x:f>
      </x:c>
      <x:c r="C135" t="str">
        <x:f>IF(VLOOKUP($A135,Assets!$A:$C,3,FALSE)=0,"",VLOOKUP($A135,Assets!$A:$C,3,FALSE))</x:f>
      </x:c>
      <x:c r="D135" s="16">
        <x:v>1</x:v>
      </x:c>
      <x:c r="E135" s="20" t="str">
        <x:f>_xlfn.IFNA(VLOOKUP(_xlfn.CONCAT("T",E$1,"V",$D135,"A",$A135),Vulnerabilities!$G:$G,1,FALSE),"")</x:f>
      </x:c>
      <x:c r="F135" s="20" t="str">
        <x:f>_xlfn.IFNA(VLOOKUP(_xlfn.CONCAT("T",F$1,"V",$D135,"A",$A135),Vulnerabilities!$G:$G,1,FALSE),"")</x:f>
      </x:c>
      <x:c r="G135" s="20" t="str">
        <x:f>_xlfn.IFNA(VLOOKUP(_xlfn.CONCAT("T",G$1,"V",$D135,"A",$A135),Vulnerabilities!$G:$G,1,FALSE),"")</x:f>
      </x:c>
      <x:c r="H135" s="20" t="str">
        <x:f>_xlfn.IFNA(VLOOKUP(_xlfn.CONCAT("T",H$1,"V",$D135,"A",$A135),Vulnerabilities!$G:$G,1,FALSE),"")</x:f>
      </x:c>
      <x:c r="I135" s="20" t="str">
        <x:f>_xlfn.IFNA(VLOOKUP(_xlfn.CONCAT("T",I$1,"V",$D135,"A",$A135),Vulnerabilities!$G:$G,1,FALSE),"")</x:f>
      </x:c>
      <x:c r="J135" s="20" t="str">
        <x:f>_xlfn.IFNA(VLOOKUP(_xlfn.CONCAT("T",J$1,"V",$D135,"A",$A135),Vulnerabilities!$G:$G,1,FALSE),"")</x:f>
      </x:c>
      <x:c r="K135" s="20" t="str">
        <x:f>_xlfn.IFNA(VLOOKUP(_xlfn.CONCAT("T",K$1,"V",$D135,"A",$A135),Vulnerabilities!$G:$G,1,FALSE),"")</x:f>
      </x:c>
      <x:c r="L135" s="20" t="str">
        <x:f>_xlfn.IFNA(VLOOKUP(_xlfn.CONCAT("T",L$1,"V",$D135,"A",$A135),Vulnerabilities!$G:$G,1,FALSE),"")</x:f>
      </x:c>
      <x:c r="M135" s="20" t="str">
        <x:f>_xlfn.IFNA(VLOOKUP(_xlfn.CONCAT("T",M$1,"V",$D135,"A",$A135),Vulnerabilities!$G:$G,1,FALSE),"")</x:f>
      </x:c>
      <x:c r="N135" s="20" t="str">
        <x:f>_xlfn.IFNA(VLOOKUP(_xlfn.CONCAT("T",N$1,"V",$D135,"A",$A135),Vulnerabilities!$G:$G,1,FALSE),"")</x:f>
      </x:c>
      <x:c r="O135" s="20" t="str">
        <x:f>_xlfn.IFNA(VLOOKUP(_xlfn.CONCAT("T",O$1,"V",$D135,"A",$A135),Vulnerabilities!$G:$G,1,FALSE),"")</x:f>
      </x:c>
      <x:c r="P135" s="16" t="str">
        <x:f>_xlfn.IFNA(VLOOKUP(_xlfn.CONCAT("T",P$1,"V",$D135,"A",$A135),Vulnerabilities!$G:$G,1,FALSE),"")</x:f>
      </x:c>
    </x:row>
    <x:row r="136">
      <x:c r="A136" s="1">
        <x:f t="shared" si="2"/>
        <x:v>34</x:v>
      </x:c>
      <x:c r="B136" t="str">
        <x:f>IF(VLOOKUP($A136,Assets!$A:$C,2,FALSE)=0,"",VLOOKUP($A136,Assets!$A:$C,2,FALSE))</x:f>
      </x:c>
      <x:c r="C136" t="str">
        <x:f>IF(VLOOKUP($A136,Assets!$A:$C,3,FALSE)=0,"",VLOOKUP($A136,Assets!$A:$C,3,FALSE))</x:f>
      </x:c>
      <x:c r="D136" s="16">
        <x:v>2</x:v>
      </x:c>
      <x:c r="E136" s="20" t="str">
        <x:f>_xlfn.IFNA(VLOOKUP(_xlfn.CONCAT("T",E$1,"V",$D136,"A",$A136),Vulnerabilities!$G:$G,1,FALSE),"")</x:f>
      </x:c>
      <x:c r="F136" s="20" t="str">
        <x:f>_xlfn.IFNA(VLOOKUP(_xlfn.CONCAT("T",F$1,"V",$D136,"A",$A136),Vulnerabilities!$G:$G,1,FALSE),"")</x:f>
      </x:c>
      <x:c r="G136" s="20" t="str">
        <x:f>_xlfn.IFNA(VLOOKUP(_xlfn.CONCAT("T",G$1,"V",$D136,"A",$A136),Vulnerabilities!$G:$G,1,FALSE),"")</x:f>
      </x:c>
      <x:c r="H136" s="20" t="str">
        <x:f>_xlfn.IFNA(VLOOKUP(_xlfn.CONCAT("T",H$1,"V",$D136,"A",$A136),Vulnerabilities!$G:$G,1,FALSE),"")</x:f>
      </x:c>
      <x:c r="I136" s="20" t="str">
        <x:f>_xlfn.IFNA(VLOOKUP(_xlfn.CONCAT("T",I$1,"V",$D136,"A",$A136),Vulnerabilities!$G:$G,1,FALSE),"")</x:f>
      </x:c>
      <x:c r="J136" s="20" t="str">
        <x:f>_xlfn.IFNA(VLOOKUP(_xlfn.CONCAT("T",J$1,"V",$D136,"A",$A136),Vulnerabilities!$G:$G,1,FALSE),"")</x:f>
      </x:c>
      <x:c r="K136" s="20" t="str">
        <x:f>_xlfn.IFNA(VLOOKUP(_xlfn.CONCAT("T",K$1,"V",$D136,"A",$A136),Vulnerabilities!$G:$G,1,FALSE),"")</x:f>
      </x:c>
      <x:c r="L136" s="20" t="str">
        <x:f>_xlfn.IFNA(VLOOKUP(_xlfn.CONCAT("T",L$1,"V",$D136,"A",$A136),Vulnerabilities!$G:$G,1,FALSE),"")</x:f>
      </x:c>
      <x:c r="M136" s="20" t="str">
        <x:f>_xlfn.IFNA(VLOOKUP(_xlfn.CONCAT("T",M$1,"V",$D136,"A",$A136),Vulnerabilities!$G:$G,1,FALSE),"")</x:f>
      </x:c>
      <x:c r="N136" s="20" t="str">
        <x:f>_xlfn.IFNA(VLOOKUP(_xlfn.CONCAT("T",N$1,"V",$D136,"A",$A136),Vulnerabilities!$G:$G,1,FALSE),"")</x:f>
      </x:c>
      <x:c r="O136" s="20" t="str">
        <x:f>_xlfn.IFNA(VLOOKUP(_xlfn.CONCAT("T",O$1,"V",$D136,"A",$A136),Vulnerabilities!$G:$G,1,FALSE),"")</x:f>
      </x:c>
      <x:c r="P136" s="16" t="str">
        <x:f>_xlfn.IFNA(VLOOKUP(_xlfn.CONCAT("T",P$1,"V",$D136,"A",$A136),Vulnerabilities!$G:$G,1,FALSE),"")</x:f>
      </x:c>
    </x:row>
    <x:row r="137">
      <x:c r="A137" s="1">
        <x:f t="shared" si="2"/>
        <x:v>34</x:v>
      </x:c>
      <x:c r="B137" t="str">
        <x:f>IF(VLOOKUP($A137,Assets!$A:$C,2,FALSE)=0,"",VLOOKUP($A137,Assets!$A:$C,2,FALSE))</x:f>
      </x:c>
      <x:c r="C137" t="str">
        <x:f>IF(VLOOKUP($A137,Assets!$A:$C,3,FALSE)=0,"",VLOOKUP($A137,Assets!$A:$C,3,FALSE))</x:f>
      </x:c>
      <x:c r="D137" s="16">
        <x:v>3</x:v>
      </x:c>
      <x:c r="E137" s="20" t="str">
        <x:f>_xlfn.IFNA(VLOOKUP(_xlfn.CONCAT("T",E$1,"V",$D137,"A",$A137),Vulnerabilities!$G:$G,1,FALSE),"")</x:f>
      </x:c>
      <x:c r="F137" s="20" t="str">
        <x:f>_xlfn.IFNA(VLOOKUP(_xlfn.CONCAT("T",F$1,"V",$D137,"A",$A137),Vulnerabilities!$G:$G,1,FALSE),"")</x:f>
      </x:c>
      <x:c r="G137" s="20" t="str">
        <x:f>_xlfn.IFNA(VLOOKUP(_xlfn.CONCAT("T",G$1,"V",$D137,"A",$A137),Vulnerabilities!$G:$G,1,FALSE),"")</x:f>
      </x:c>
      <x:c r="H137" s="20" t="str">
        <x:f>_xlfn.IFNA(VLOOKUP(_xlfn.CONCAT("T",H$1,"V",$D137,"A",$A137),Vulnerabilities!$G:$G,1,FALSE),"")</x:f>
      </x:c>
      <x:c r="I137" s="20" t="str">
        <x:f>_xlfn.IFNA(VLOOKUP(_xlfn.CONCAT("T",I$1,"V",$D137,"A",$A137),Vulnerabilities!$G:$G,1,FALSE),"")</x:f>
      </x:c>
      <x:c r="J137" s="20" t="str">
        <x:f>_xlfn.IFNA(VLOOKUP(_xlfn.CONCAT("T",J$1,"V",$D137,"A",$A137),Vulnerabilities!$G:$G,1,FALSE),"")</x:f>
      </x:c>
      <x:c r="K137" s="20" t="str">
        <x:f>_xlfn.IFNA(VLOOKUP(_xlfn.CONCAT("T",K$1,"V",$D137,"A",$A137),Vulnerabilities!$G:$G,1,FALSE),"")</x:f>
      </x:c>
      <x:c r="L137" s="20" t="str">
        <x:f>_xlfn.IFNA(VLOOKUP(_xlfn.CONCAT("T",L$1,"V",$D137,"A",$A137),Vulnerabilities!$G:$G,1,FALSE),"")</x:f>
      </x:c>
      <x:c r="M137" s="20" t="str">
        <x:f>_xlfn.IFNA(VLOOKUP(_xlfn.CONCAT("T",M$1,"V",$D137,"A",$A137),Vulnerabilities!$G:$G,1,FALSE),"")</x:f>
      </x:c>
      <x:c r="N137" s="20" t="str">
        <x:f>_xlfn.IFNA(VLOOKUP(_xlfn.CONCAT("T",N$1,"V",$D137,"A",$A137),Vulnerabilities!$G:$G,1,FALSE),"")</x:f>
      </x:c>
      <x:c r="O137" s="20" t="str">
        <x:f>_xlfn.IFNA(VLOOKUP(_xlfn.CONCAT("T",O$1,"V",$D137,"A",$A137),Vulnerabilities!$G:$G,1,FALSE),"")</x:f>
      </x:c>
      <x:c r="P137" s="16" t="str">
        <x:f>_xlfn.IFNA(VLOOKUP(_xlfn.CONCAT("T",P$1,"V",$D137,"A",$A137),Vulnerabilities!$G:$G,1,FALSE),"")</x:f>
      </x:c>
    </x:row>
    <x:row r="138">
      <x:c r="A138" s="11">
        <x:f t="shared" si="2"/>
        <x:v>34</x:v>
      </x:c>
      <x:c r="B138" s="12" t="str">
        <x:f>IF(VLOOKUP($A138,Assets!$A:$C,2,FALSE)=0,"",VLOOKUP($A138,Assets!$A:$C,2,FALSE))</x:f>
      </x:c>
      <x:c r="C138" s="12" t="str">
        <x:f>IF(VLOOKUP($A138,Assets!$A:$C,3,FALSE)=0,"",VLOOKUP($A138,Assets!$A:$C,3,FALSE))</x:f>
      </x:c>
      <x:c r="D138" s="17">
        <x:v>4</x:v>
      </x:c>
      <x:c r="E138" s="21" t="str">
        <x:f>_xlfn.IFNA(VLOOKUP(_xlfn.CONCAT("T",E$1,"V",$D138,"A",$A138),Vulnerabilities!$G:$G,1,FALSE),"")</x:f>
      </x:c>
      <x:c r="F138" s="21" t="str">
        <x:f>_xlfn.IFNA(VLOOKUP(_xlfn.CONCAT("T",F$1,"V",$D138,"A",$A138),Vulnerabilities!$G:$G,1,FALSE),"")</x:f>
      </x:c>
      <x:c r="G138" s="21" t="str">
        <x:f>_xlfn.IFNA(VLOOKUP(_xlfn.CONCAT("T",G$1,"V",$D138,"A",$A138),Vulnerabilities!$G:$G,1,FALSE),"")</x:f>
      </x:c>
      <x:c r="H138" s="21" t="str">
        <x:f>_xlfn.IFNA(VLOOKUP(_xlfn.CONCAT("T",H$1,"V",$D138,"A",$A138),Vulnerabilities!$G:$G,1,FALSE),"")</x:f>
      </x:c>
      <x:c r="I138" s="21" t="str">
        <x:f>_xlfn.IFNA(VLOOKUP(_xlfn.CONCAT("T",I$1,"V",$D138,"A",$A138),Vulnerabilities!$G:$G,1,FALSE),"")</x:f>
      </x:c>
      <x:c r="J138" s="21" t="str">
        <x:f>_xlfn.IFNA(VLOOKUP(_xlfn.CONCAT("T",J$1,"V",$D138,"A",$A138),Vulnerabilities!$G:$G,1,FALSE),"")</x:f>
      </x:c>
      <x:c r="K138" s="21" t="str">
        <x:f>_xlfn.IFNA(VLOOKUP(_xlfn.CONCAT("T",K$1,"V",$D138,"A",$A138),Vulnerabilities!$G:$G,1,FALSE),"")</x:f>
      </x:c>
      <x:c r="L138" s="21" t="str">
        <x:f>_xlfn.IFNA(VLOOKUP(_xlfn.CONCAT("T",L$1,"V",$D138,"A",$A138),Vulnerabilities!$G:$G,1,FALSE),"")</x:f>
      </x:c>
      <x:c r="M138" s="21" t="str">
        <x:f>_xlfn.IFNA(VLOOKUP(_xlfn.CONCAT("T",M$1,"V",$D138,"A",$A138),Vulnerabilities!$G:$G,1,FALSE),"")</x:f>
      </x:c>
      <x:c r="N138" s="21" t="str">
        <x:f>_xlfn.IFNA(VLOOKUP(_xlfn.CONCAT("T",N$1,"V",$D138,"A",$A138),Vulnerabilities!$G:$G,1,FALSE),"")</x:f>
      </x:c>
      <x:c r="O138" s="21" t="str">
        <x:f>_xlfn.IFNA(VLOOKUP(_xlfn.CONCAT("T",O$1,"V",$D138,"A",$A138),Vulnerabilities!$G:$G,1,FALSE),"")</x:f>
      </x:c>
      <x:c r="P138" s="17" t="str">
        <x:f>_xlfn.IFNA(VLOOKUP(_xlfn.CONCAT("T",P$1,"V",$D138,"A",$A138),Vulnerabilities!$G:$G,1,FALSE),"")</x:f>
      </x:c>
    </x:row>
    <x:row r="139">
      <x:c r="A139" s="1">
        <x:f t="shared" si="2"/>
        <x:v>35</x:v>
      </x:c>
      <x:c r="B139" t="str">
        <x:f>IF(VLOOKUP($A139,Assets!$A:$C,2,FALSE)=0,"",VLOOKUP($A139,Assets!$A:$C,2,FALSE))</x:f>
      </x:c>
      <x:c r="C139" t="str">
        <x:f>IF(VLOOKUP($A139,Assets!$A:$C,3,FALSE)=0,"",VLOOKUP($A139,Assets!$A:$C,3,FALSE))</x:f>
      </x:c>
      <x:c r="D139" s="16">
        <x:v>1</x:v>
      </x:c>
      <x:c r="E139" s="20" t="str">
        <x:f>_xlfn.IFNA(VLOOKUP(_xlfn.CONCAT("T",E$1,"V",$D139,"A",$A139),Vulnerabilities!$G:$G,1,FALSE),"")</x:f>
      </x:c>
      <x:c r="F139" s="20" t="str">
        <x:f>_xlfn.IFNA(VLOOKUP(_xlfn.CONCAT("T",F$1,"V",$D139,"A",$A139),Vulnerabilities!$G:$G,1,FALSE),"")</x:f>
      </x:c>
      <x:c r="G139" s="20" t="str">
        <x:f>_xlfn.IFNA(VLOOKUP(_xlfn.CONCAT("T",G$1,"V",$D139,"A",$A139),Vulnerabilities!$G:$G,1,FALSE),"")</x:f>
      </x:c>
      <x:c r="H139" s="20" t="str">
        <x:f>_xlfn.IFNA(VLOOKUP(_xlfn.CONCAT("T",H$1,"V",$D139,"A",$A139),Vulnerabilities!$G:$G,1,FALSE),"")</x:f>
      </x:c>
      <x:c r="I139" s="20" t="str">
        <x:f>_xlfn.IFNA(VLOOKUP(_xlfn.CONCAT("T",I$1,"V",$D139,"A",$A139),Vulnerabilities!$G:$G,1,FALSE),"")</x:f>
      </x:c>
      <x:c r="J139" s="20" t="str">
        <x:f>_xlfn.IFNA(VLOOKUP(_xlfn.CONCAT("T",J$1,"V",$D139,"A",$A139),Vulnerabilities!$G:$G,1,FALSE),"")</x:f>
      </x:c>
      <x:c r="K139" s="20" t="str">
        <x:f>_xlfn.IFNA(VLOOKUP(_xlfn.CONCAT("T",K$1,"V",$D139,"A",$A139),Vulnerabilities!$G:$G,1,FALSE),"")</x:f>
      </x:c>
      <x:c r="L139" s="20" t="str">
        <x:f>_xlfn.IFNA(VLOOKUP(_xlfn.CONCAT("T",L$1,"V",$D139,"A",$A139),Vulnerabilities!$G:$G,1,FALSE),"")</x:f>
      </x:c>
      <x:c r="M139" s="20" t="str">
        <x:f>_xlfn.IFNA(VLOOKUP(_xlfn.CONCAT("T",M$1,"V",$D139,"A",$A139),Vulnerabilities!$G:$G,1,FALSE),"")</x:f>
      </x:c>
      <x:c r="N139" s="20" t="str">
        <x:f>_xlfn.IFNA(VLOOKUP(_xlfn.CONCAT("T",N$1,"V",$D139,"A",$A139),Vulnerabilities!$G:$G,1,FALSE),"")</x:f>
      </x:c>
      <x:c r="O139" s="20" t="str">
        <x:f>_xlfn.IFNA(VLOOKUP(_xlfn.CONCAT("T",O$1,"V",$D139,"A",$A139),Vulnerabilities!$G:$G,1,FALSE),"")</x:f>
      </x:c>
      <x:c r="P139" s="16" t="str">
        <x:f>_xlfn.IFNA(VLOOKUP(_xlfn.CONCAT("T",P$1,"V",$D139,"A",$A139),Vulnerabilities!$G:$G,1,FALSE),"")</x:f>
      </x:c>
    </x:row>
    <x:row r="140">
      <x:c r="A140" s="1">
        <x:f t="shared" si="2"/>
        <x:v>35</x:v>
      </x:c>
      <x:c r="B140" t="str">
        <x:f>IF(VLOOKUP($A140,Assets!$A:$C,2,FALSE)=0,"",VLOOKUP($A140,Assets!$A:$C,2,FALSE))</x:f>
      </x:c>
      <x:c r="C140" t="str">
        <x:f>IF(VLOOKUP($A140,Assets!$A:$C,3,FALSE)=0,"",VLOOKUP($A140,Assets!$A:$C,3,FALSE))</x:f>
      </x:c>
      <x:c r="D140" s="16">
        <x:v>2</x:v>
      </x:c>
      <x:c r="E140" s="20" t="str">
        <x:f>_xlfn.IFNA(VLOOKUP(_xlfn.CONCAT("T",E$1,"V",$D140,"A",$A140),Vulnerabilities!$G:$G,1,FALSE),"")</x:f>
      </x:c>
      <x:c r="F140" s="20" t="str">
        <x:f>_xlfn.IFNA(VLOOKUP(_xlfn.CONCAT("T",F$1,"V",$D140,"A",$A140),Vulnerabilities!$G:$G,1,FALSE),"")</x:f>
      </x:c>
      <x:c r="G140" s="20" t="str">
        <x:f>_xlfn.IFNA(VLOOKUP(_xlfn.CONCAT("T",G$1,"V",$D140,"A",$A140),Vulnerabilities!$G:$G,1,FALSE),"")</x:f>
      </x:c>
      <x:c r="H140" s="20" t="str">
        <x:f>_xlfn.IFNA(VLOOKUP(_xlfn.CONCAT("T",H$1,"V",$D140,"A",$A140),Vulnerabilities!$G:$G,1,FALSE),"")</x:f>
      </x:c>
      <x:c r="I140" s="20" t="str">
        <x:f>_xlfn.IFNA(VLOOKUP(_xlfn.CONCAT("T",I$1,"V",$D140,"A",$A140),Vulnerabilities!$G:$G,1,FALSE),"")</x:f>
      </x:c>
      <x:c r="J140" s="20" t="str">
        <x:f>_xlfn.IFNA(VLOOKUP(_xlfn.CONCAT("T",J$1,"V",$D140,"A",$A140),Vulnerabilities!$G:$G,1,FALSE),"")</x:f>
      </x:c>
      <x:c r="K140" s="20" t="str">
        <x:f>_xlfn.IFNA(VLOOKUP(_xlfn.CONCAT("T",K$1,"V",$D140,"A",$A140),Vulnerabilities!$G:$G,1,FALSE),"")</x:f>
      </x:c>
      <x:c r="L140" s="20" t="str">
        <x:f>_xlfn.IFNA(VLOOKUP(_xlfn.CONCAT("T",L$1,"V",$D140,"A",$A140),Vulnerabilities!$G:$G,1,FALSE),"")</x:f>
      </x:c>
      <x:c r="M140" s="20" t="str">
        <x:f>_xlfn.IFNA(VLOOKUP(_xlfn.CONCAT("T",M$1,"V",$D140,"A",$A140),Vulnerabilities!$G:$G,1,FALSE),"")</x:f>
      </x:c>
      <x:c r="N140" s="20" t="str">
        <x:f>_xlfn.IFNA(VLOOKUP(_xlfn.CONCAT("T",N$1,"V",$D140,"A",$A140),Vulnerabilities!$G:$G,1,FALSE),"")</x:f>
      </x:c>
      <x:c r="O140" s="20" t="str">
        <x:f>_xlfn.IFNA(VLOOKUP(_xlfn.CONCAT("T",O$1,"V",$D140,"A",$A140),Vulnerabilities!$G:$G,1,FALSE),"")</x:f>
      </x:c>
      <x:c r="P140" s="16" t="str">
        <x:f>_xlfn.IFNA(VLOOKUP(_xlfn.CONCAT("T",P$1,"V",$D140,"A",$A140),Vulnerabilities!$G:$G,1,FALSE),"")</x:f>
      </x:c>
    </x:row>
    <x:row r="141">
      <x:c r="A141" s="1">
        <x:f t="shared" si="2"/>
        <x:v>35</x:v>
      </x:c>
      <x:c r="B141" t="str">
        <x:f>IF(VLOOKUP($A141,Assets!$A:$C,2,FALSE)=0,"",VLOOKUP($A141,Assets!$A:$C,2,FALSE))</x:f>
      </x:c>
      <x:c r="C141" t="str">
        <x:f>IF(VLOOKUP($A141,Assets!$A:$C,3,FALSE)=0,"",VLOOKUP($A141,Assets!$A:$C,3,FALSE))</x:f>
      </x:c>
      <x:c r="D141" s="16">
        <x:v>3</x:v>
      </x:c>
      <x:c r="E141" s="20" t="str">
        <x:f>_xlfn.IFNA(VLOOKUP(_xlfn.CONCAT("T",E$1,"V",$D141,"A",$A141),Vulnerabilities!$G:$G,1,FALSE),"")</x:f>
      </x:c>
      <x:c r="F141" s="20" t="str">
        <x:f>_xlfn.IFNA(VLOOKUP(_xlfn.CONCAT("T",F$1,"V",$D141,"A",$A141),Vulnerabilities!$G:$G,1,FALSE),"")</x:f>
      </x:c>
      <x:c r="G141" s="20" t="str">
        <x:f>_xlfn.IFNA(VLOOKUP(_xlfn.CONCAT("T",G$1,"V",$D141,"A",$A141),Vulnerabilities!$G:$G,1,FALSE),"")</x:f>
      </x:c>
      <x:c r="H141" s="20" t="str">
        <x:f>_xlfn.IFNA(VLOOKUP(_xlfn.CONCAT("T",H$1,"V",$D141,"A",$A141),Vulnerabilities!$G:$G,1,FALSE),"")</x:f>
      </x:c>
      <x:c r="I141" s="20" t="str">
        <x:f>_xlfn.IFNA(VLOOKUP(_xlfn.CONCAT("T",I$1,"V",$D141,"A",$A141),Vulnerabilities!$G:$G,1,FALSE),"")</x:f>
      </x:c>
      <x:c r="J141" s="20" t="str">
        <x:f>_xlfn.IFNA(VLOOKUP(_xlfn.CONCAT("T",J$1,"V",$D141,"A",$A141),Vulnerabilities!$G:$G,1,FALSE),"")</x:f>
      </x:c>
      <x:c r="K141" s="20" t="str">
        <x:f>_xlfn.IFNA(VLOOKUP(_xlfn.CONCAT("T",K$1,"V",$D141,"A",$A141),Vulnerabilities!$G:$G,1,FALSE),"")</x:f>
      </x:c>
      <x:c r="L141" s="20" t="str">
        <x:f>_xlfn.IFNA(VLOOKUP(_xlfn.CONCAT("T",L$1,"V",$D141,"A",$A141),Vulnerabilities!$G:$G,1,FALSE),"")</x:f>
      </x:c>
      <x:c r="M141" s="20" t="str">
        <x:f>_xlfn.IFNA(VLOOKUP(_xlfn.CONCAT("T",M$1,"V",$D141,"A",$A141),Vulnerabilities!$G:$G,1,FALSE),"")</x:f>
      </x:c>
      <x:c r="N141" s="20" t="str">
        <x:f>_xlfn.IFNA(VLOOKUP(_xlfn.CONCAT("T",N$1,"V",$D141,"A",$A141),Vulnerabilities!$G:$G,1,FALSE),"")</x:f>
      </x:c>
      <x:c r="O141" s="20" t="str">
        <x:f>_xlfn.IFNA(VLOOKUP(_xlfn.CONCAT("T",O$1,"V",$D141,"A",$A141),Vulnerabilities!$G:$G,1,FALSE),"")</x:f>
      </x:c>
      <x:c r="P141" s="16" t="str">
        <x:f>_xlfn.IFNA(VLOOKUP(_xlfn.CONCAT("T",P$1,"V",$D141,"A",$A141),Vulnerabilities!$G:$G,1,FALSE),"")</x:f>
      </x:c>
    </x:row>
    <x:row r="142">
      <x:c r="A142" s="11">
        <x:f t="shared" si="2"/>
        <x:v>35</x:v>
      </x:c>
      <x:c r="B142" s="12" t="str">
        <x:f>IF(VLOOKUP($A142,Assets!$A:$C,2,FALSE)=0,"",VLOOKUP($A142,Assets!$A:$C,2,FALSE))</x:f>
      </x:c>
      <x:c r="C142" s="12" t="str">
        <x:f>IF(VLOOKUP($A142,Assets!$A:$C,3,FALSE)=0,"",VLOOKUP($A142,Assets!$A:$C,3,FALSE))</x:f>
      </x:c>
      <x:c r="D142" s="17">
        <x:v>4</x:v>
      </x:c>
      <x:c r="E142" s="21" t="str">
        <x:f>_xlfn.IFNA(VLOOKUP(_xlfn.CONCAT("T",E$1,"V",$D142,"A",$A142),Vulnerabilities!$G:$G,1,FALSE),"")</x:f>
      </x:c>
      <x:c r="F142" s="21" t="str">
        <x:f>_xlfn.IFNA(VLOOKUP(_xlfn.CONCAT("T",F$1,"V",$D142,"A",$A142),Vulnerabilities!$G:$G,1,FALSE),"")</x:f>
      </x:c>
      <x:c r="G142" s="21" t="str">
        <x:f>_xlfn.IFNA(VLOOKUP(_xlfn.CONCAT("T",G$1,"V",$D142,"A",$A142),Vulnerabilities!$G:$G,1,FALSE),"")</x:f>
      </x:c>
      <x:c r="H142" s="21" t="str">
        <x:f>_xlfn.IFNA(VLOOKUP(_xlfn.CONCAT("T",H$1,"V",$D142,"A",$A142),Vulnerabilities!$G:$G,1,FALSE),"")</x:f>
      </x:c>
      <x:c r="I142" s="21" t="str">
        <x:f>_xlfn.IFNA(VLOOKUP(_xlfn.CONCAT("T",I$1,"V",$D142,"A",$A142),Vulnerabilities!$G:$G,1,FALSE),"")</x:f>
      </x:c>
      <x:c r="J142" s="21" t="str">
        <x:f>_xlfn.IFNA(VLOOKUP(_xlfn.CONCAT("T",J$1,"V",$D142,"A",$A142),Vulnerabilities!$G:$G,1,FALSE),"")</x:f>
      </x:c>
      <x:c r="K142" s="21" t="str">
        <x:f>_xlfn.IFNA(VLOOKUP(_xlfn.CONCAT("T",K$1,"V",$D142,"A",$A142),Vulnerabilities!$G:$G,1,FALSE),"")</x:f>
      </x:c>
      <x:c r="L142" s="21" t="str">
        <x:f>_xlfn.IFNA(VLOOKUP(_xlfn.CONCAT("T",L$1,"V",$D142,"A",$A142),Vulnerabilities!$G:$G,1,FALSE),"")</x:f>
      </x:c>
      <x:c r="M142" s="21" t="str">
        <x:f>_xlfn.IFNA(VLOOKUP(_xlfn.CONCAT("T",M$1,"V",$D142,"A",$A142),Vulnerabilities!$G:$G,1,FALSE),"")</x:f>
      </x:c>
      <x:c r="N142" s="21" t="str">
        <x:f>_xlfn.IFNA(VLOOKUP(_xlfn.CONCAT("T",N$1,"V",$D142,"A",$A142),Vulnerabilities!$G:$G,1,FALSE),"")</x:f>
      </x:c>
      <x:c r="O142" s="21" t="str">
        <x:f>_xlfn.IFNA(VLOOKUP(_xlfn.CONCAT("T",O$1,"V",$D142,"A",$A142),Vulnerabilities!$G:$G,1,FALSE),"")</x:f>
      </x:c>
      <x:c r="P142" s="17" t="str">
        <x:f>_xlfn.IFNA(VLOOKUP(_xlfn.CONCAT("T",P$1,"V",$D142,"A",$A142),Vulnerabilities!$G:$G,1,FALSE),"")</x:f>
      </x:c>
    </x:row>
    <x:row r="143">
      <x:c r="A143" s="1">
        <x:f t="shared" si="2"/>
        <x:v>36</x:v>
      </x:c>
      <x:c r="B143" t="str">
        <x:f>IF(VLOOKUP($A143,Assets!$A:$C,2,FALSE)=0,"",VLOOKUP($A143,Assets!$A:$C,2,FALSE))</x:f>
      </x:c>
      <x:c r="C143" t="str">
        <x:f>IF(VLOOKUP($A143,Assets!$A:$C,3,FALSE)=0,"",VLOOKUP($A143,Assets!$A:$C,3,FALSE))</x:f>
      </x:c>
      <x:c r="D143" s="16">
        <x:v>1</x:v>
      </x:c>
      <x:c r="E143" s="20" t="str">
        <x:f>_xlfn.IFNA(VLOOKUP(_xlfn.CONCAT("T",E$1,"V",$D143,"A",$A143),Vulnerabilities!$G:$G,1,FALSE),"")</x:f>
      </x:c>
      <x:c r="F143" s="20" t="str">
        <x:f>_xlfn.IFNA(VLOOKUP(_xlfn.CONCAT("T",F$1,"V",$D143,"A",$A143),Vulnerabilities!$G:$G,1,FALSE),"")</x:f>
      </x:c>
      <x:c r="G143" s="20" t="str">
        <x:f>_xlfn.IFNA(VLOOKUP(_xlfn.CONCAT("T",G$1,"V",$D143,"A",$A143),Vulnerabilities!$G:$G,1,FALSE),"")</x:f>
      </x:c>
      <x:c r="H143" s="20" t="str">
        <x:f>_xlfn.IFNA(VLOOKUP(_xlfn.CONCAT("T",H$1,"V",$D143,"A",$A143),Vulnerabilities!$G:$G,1,FALSE),"")</x:f>
      </x:c>
      <x:c r="I143" s="20" t="str">
        <x:f>_xlfn.IFNA(VLOOKUP(_xlfn.CONCAT("T",I$1,"V",$D143,"A",$A143),Vulnerabilities!$G:$G,1,FALSE),"")</x:f>
      </x:c>
      <x:c r="J143" s="20" t="str">
        <x:f>_xlfn.IFNA(VLOOKUP(_xlfn.CONCAT("T",J$1,"V",$D143,"A",$A143),Vulnerabilities!$G:$G,1,FALSE),"")</x:f>
      </x:c>
      <x:c r="K143" s="20" t="str">
        <x:f>_xlfn.IFNA(VLOOKUP(_xlfn.CONCAT("T",K$1,"V",$D143,"A",$A143),Vulnerabilities!$G:$G,1,FALSE),"")</x:f>
      </x:c>
      <x:c r="L143" s="20" t="str">
        <x:f>_xlfn.IFNA(VLOOKUP(_xlfn.CONCAT("T",L$1,"V",$D143,"A",$A143),Vulnerabilities!$G:$G,1,FALSE),"")</x:f>
      </x:c>
      <x:c r="M143" s="20" t="str">
        <x:f>_xlfn.IFNA(VLOOKUP(_xlfn.CONCAT("T",M$1,"V",$D143,"A",$A143),Vulnerabilities!$G:$G,1,FALSE),"")</x:f>
      </x:c>
      <x:c r="N143" s="20" t="str">
        <x:f>_xlfn.IFNA(VLOOKUP(_xlfn.CONCAT("T",N$1,"V",$D143,"A",$A143),Vulnerabilities!$G:$G,1,FALSE),"")</x:f>
      </x:c>
      <x:c r="O143" s="20" t="str">
        <x:f>_xlfn.IFNA(VLOOKUP(_xlfn.CONCAT("T",O$1,"V",$D143,"A",$A143),Vulnerabilities!$G:$G,1,FALSE),"")</x:f>
      </x:c>
      <x:c r="P143" s="16" t="str">
        <x:f>_xlfn.IFNA(VLOOKUP(_xlfn.CONCAT("T",P$1,"V",$D143,"A",$A143),Vulnerabilities!$G:$G,1,FALSE),"")</x:f>
      </x:c>
    </x:row>
    <x:row r="144">
      <x:c r="A144" s="1">
        <x:f t="shared" si="2"/>
        <x:v>36</x:v>
      </x:c>
      <x:c r="B144" t="str">
        <x:f>IF(VLOOKUP($A144,Assets!$A:$C,2,FALSE)=0,"",VLOOKUP($A144,Assets!$A:$C,2,FALSE))</x:f>
      </x:c>
      <x:c r="C144" t="str">
        <x:f>IF(VLOOKUP($A144,Assets!$A:$C,3,FALSE)=0,"",VLOOKUP($A144,Assets!$A:$C,3,FALSE))</x:f>
      </x:c>
      <x:c r="D144" s="16">
        <x:v>2</x:v>
      </x:c>
      <x:c r="E144" s="20" t="str">
        <x:f>_xlfn.IFNA(VLOOKUP(_xlfn.CONCAT("T",E$1,"V",$D144,"A",$A144),Vulnerabilities!$G:$G,1,FALSE),"")</x:f>
      </x:c>
      <x:c r="F144" s="20" t="str">
        <x:f>_xlfn.IFNA(VLOOKUP(_xlfn.CONCAT("T",F$1,"V",$D144,"A",$A144),Vulnerabilities!$G:$G,1,FALSE),"")</x:f>
      </x:c>
      <x:c r="G144" s="20" t="str">
        <x:f>_xlfn.IFNA(VLOOKUP(_xlfn.CONCAT("T",G$1,"V",$D144,"A",$A144),Vulnerabilities!$G:$G,1,FALSE),"")</x:f>
      </x:c>
      <x:c r="H144" s="20" t="str">
        <x:f>_xlfn.IFNA(VLOOKUP(_xlfn.CONCAT("T",H$1,"V",$D144,"A",$A144),Vulnerabilities!$G:$G,1,FALSE),"")</x:f>
      </x:c>
      <x:c r="I144" s="20" t="str">
        <x:f>_xlfn.IFNA(VLOOKUP(_xlfn.CONCAT("T",I$1,"V",$D144,"A",$A144),Vulnerabilities!$G:$G,1,FALSE),"")</x:f>
      </x:c>
      <x:c r="J144" s="20" t="str">
        <x:f>_xlfn.IFNA(VLOOKUP(_xlfn.CONCAT("T",J$1,"V",$D144,"A",$A144),Vulnerabilities!$G:$G,1,FALSE),"")</x:f>
      </x:c>
      <x:c r="K144" s="20" t="str">
        <x:f>_xlfn.IFNA(VLOOKUP(_xlfn.CONCAT("T",K$1,"V",$D144,"A",$A144),Vulnerabilities!$G:$G,1,FALSE),"")</x:f>
      </x:c>
      <x:c r="L144" s="20" t="str">
        <x:f>_xlfn.IFNA(VLOOKUP(_xlfn.CONCAT("T",L$1,"V",$D144,"A",$A144),Vulnerabilities!$G:$G,1,FALSE),"")</x:f>
      </x:c>
      <x:c r="M144" s="20" t="str">
        <x:f>_xlfn.IFNA(VLOOKUP(_xlfn.CONCAT("T",M$1,"V",$D144,"A",$A144),Vulnerabilities!$G:$G,1,FALSE),"")</x:f>
      </x:c>
      <x:c r="N144" s="20" t="str">
        <x:f>_xlfn.IFNA(VLOOKUP(_xlfn.CONCAT("T",N$1,"V",$D144,"A",$A144),Vulnerabilities!$G:$G,1,FALSE),"")</x:f>
      </x:c>
      <x:c r="O144" s="20" t="str">
        <x:f>_xlfn.IFNA(VLOOKUP(_xlfn.CONCAT("T",O$1,"V",$D144,"A",$A144),Vulnerabilities!$G:$G,1,FALSE),"")</x:f>
      </x:c>
      <x:c r="P144" s="16" t="str">
        <x:f>_xlfn.IFNA(VLOOKUP(_xlfn.CONCAT("T",P$1,"V",$D144,"A",$A144),Vulnerabilities!$G:$G,1,FALSE),"")</x:f>
      </x:c>
    </x:row>
    <x:row r="145">
      <x:c r="A145" s="1">
        <x:f t="shared" si="2"/>
        <x:v>36</x:v>
      </x:c>
      <x:c r="B145" t="str">
        <x:f>IF(VLOOKUP($A145,Assets!$A:$C,2,FALSE)=0,"",VLOOKUP($A145,Assets!$A:$C,2,FALSE))</x:f>
      </x:c>
      <x:c r="C145" t="str">
        <x:f>IF(VLOOKUP($A145,Assets!$A:$C,3,FALSE)=0,"",VLOOKUP($A145,Assets!$A:$C,3,FALSE))</x:f>
      </x:c>
      <x:c r="D145" s="16">
        <x:v>3</x:v>
      </x:c>
      <x:c r="E145" s="20" t="str">
        <x:f>_xlfn.IFNA(VLOOKUP(_xlfn.CONCAT("T",E$1,"V",$D145,"A",$A145),Vulnerabilities!$G:$G,1,FALSE),"")</x:f>
      </x:c>
      <x:c r="F145" s="20" t="str">
        <x:f>_xlfn.IFNA(VLOOKUP(_xlfn.CONCAT("T",F$1,"V",$D145,"A",$A145),Vulnerabilities!$G:$G,1,FALSE),"")</x:f>
      </x:c>
      <x:c r="G145" s="20" t="str">
        <x:f>_xlfn.IFNA(VLOOKUP(_xlfn.CONCAT("T",G$1,"V",$D145,"A",$A145),Vulnerabilities!$G:$G,1,FALSE),"")</x:f>
      </x:c>
      <x:c r="H145" s="20" t="str">
        <x:f>_xlfn.IFNA(VLOOKUP(_xlfn.CONCAT("T",H$1,"V",$D145,"A",$A145),Vulnerabilities!$G:$G,1,FALSE),"")</x:f>
      </x:c>
      <x:c r="I145" s="20" t="str">
        <x:f>_xlfn.IFNA(VLOOKUP(_xlfn.CONCAT("T",I$1,"V",$D145,"A",$A145),Vulnerabilities!$G:$G,1,FALSE),"")</x:f>
      </x:c>
      <x:c r="J145" s="20" t="str">
        <x:f>_xlfn.IFNA(VLOOKUP(_xlfn.CONCAT("T",J$1,"V",$D145,"A",$A145),Vulnerabilities!$G:$G,1,FALSE),"")</x:f>
      </x:c>
      <x:c r="K145" s="20" t="str">
        <x:f>_xlfn.IFNA(VLOOKUP(_xlfn.CONCAT("T",K$1,"V",$D145,"A",$A145),Vulnerabilities!$G:$G,1,FALSE),"")</x:f>
      </x:c>
      <x:c r="L145" s="20" t="str">
        <x:f>_xlfn.IFNA(VLOOKUP(_xlfn.CONCAT("T",L$1,"V",$D145,"A",$A145),Vulnerabilities!$G:$G,1,FALSE),"")</x:f>
      </x:c>
      <x:c r="M145" s="20" t="str">
        <x:f>_xlfn.IFNA(VLOOKUP(_xlfn.CONCAT("T",M$1,"V",$D145,"A",$A145),Vulnerabilities!$G:$G,1,FALSE),"")</x:f>
      </x:c>
      <x:c r="N145" s="20" t="str">
        <x:f>_xlfn.IFNA(VLOOKUP(_xlfn.CONCAT("T",N$1,"V",$D145,"A",$A145),Vulnerabilities!$G:$G,1,FALSE),"")</x:f>
      </x:c>
      <x:c r="O145" s="20" t="str">
        <x:f>_xlfn.IFNA(VLOOKUP(_xlfn.CONCAT("T",O$1,"V",$D145,"A",$A145),Vulnerabilities!$G:$G,1,FALSE),"")</x:f>
      </x:c>
      <x:c r="P145" s="16" t="str">
        <x:f>_xlfn.IFNA(VLOOKUP(_xlfn.CONCAT("T",P$1,"V",$D145,"A",$A145),Vulnerabilities!$G:$G,1,FALSE),"")</x:f>
      </x:c>
    </x:row>
    <x:row r="146">
      <x:c r="A146" s="11">
        <x:f t="shared" si="2"/>
        <x:v>36</x:v>
      </x:c>
      <x:c r="B146" s="12" t="str">
        <x:f>IF(VLOOKUP($A146,Assets!$A:$C,2,FALSE)=0,"",VLOOKUP($A146,Assets!$A:$C,2,FALSE))</x:f>
      </x:c>
      <x:c r="C146" s="12" t="str">
        <x:f>IF(VLOOKUP($A146,Assets!$A:$C,3,FALSE)=0,"",VLOOKUP($A146,Assets!$A:$C,3,FALSE))</x:f>
      </x:c>
      <x:c r="D146" s="17">
        <x:v>4</x:v>
      </x:c>
      <x:c r="E146" s="21" t="str">
        <x:f>_xlfn.IFNA(VLOOKUP(_xlfn.CONCAT("T",E$1,"V",$D146,"A",$A146),Vulnerabilities!$G:$G,1,FALSE),"")</x:f>
      </x:c>
      <x:c r="F146" s="21" t="str">
        <x:f>_xlfn.IFNA(VLOOKUP(_xlfn.CONCAT("T",F$1,"V",$D146,"A",$A146),Vulnerabilities!$G:$G,1,FALSE),"")</x:f>
      </x:c>
      <x:c r="G146" s="21" t="str">
        <x:f>_xlfn.IFNA(VLOOKUP(_xlfn.CONCAT("T",G$1,"V",$D146,"A",$A146),Vulnerabilities!$G:$G,1,FALSE),"")</x:f>
      </x:c>
      <x:c r="H146" s="21" t="str">
        <x:f>_xlfn.IFNA(VLOOKUP(_xlfn.CONCAT("T",H$1,"V",$D146,"A",$A146),Vulnerabilities!$G:$G,1,FALSE),"")</x:f>
      </x:c>
      <x:c r="I146" s="21" t="str">
        <x:f>_xlfn.IFNA(VLOOKUP(_xlfn.CONCAT("T",I$1,"V",$D146,"A",$A146),Vulnerabilities!$G:$G,1,FALSE),"")</x:f>
      </x:c>
      <x:c r="J146" s="21" t="str">
        <x:f>_xlfn.IFNA(VLOOKUP(_xlfn.CONCAT("T",J$1,"V",$D146,"A",$A146),Vulnerabilities!$G:$G,1,FALSE),"")</x:f>
      </x:c>
      <x:c r="K146" s="21" t="str">
        <x:f>_xlfn.IFNA(VLOOKUP(_xlfn.CONCAT("T",K$1,"V",$D146,"A",$A146),Vulnerabilities!$G:$G,1,FALSE),"")</x:f>
      </x:c>
      <x:c r="L146" s="21" t="str">
        <x:f>_xlfn.IFNA(VLOOKUP(_xlfn.CONCAT("T",L$1,"V",$D146,"A",$A146),Vulnerabilities!$G:$G,1,FALSE),"")</x:f>
      </x:c>
      <x:c r="M146" s="21" t="str">
        <x:f>_xlfn.IFNA(VLOOKUP(_xlfn.CONCAT("T",M$1,"V",$D146,"A",$A146),Vulnerabilities!$G:$G,1,FALSE),"")</x:f>
      </x:c>
      <x:c r="N146" s="21" t="str">
        <x:f>_xlfn.IFNA(VLOOKUP(_xlfn.CONCAT("T",N$1,"V",$D146,"A",$A146),Vulnerabilities!$G:$G,1,FALSE),"")</x:f>
      </x:c>
      <x:c r="O146" s="21" t="str">
        <x:f>_xlfn.IFNA(VLOOKUP(_xlfn.CONCAT("T",O$1,"V",$D146,"A",$A146),Vulnerabilities!$G:$G,1,FALSE),"")</x:f>
      </x:c>
      <x:c r="P146" s="17" t="str">
        <x:f>_xlfn.IFNA(VLOOKUP(_xlfn.CONCAT("T",P$1,"V",$D146,"A",$A146),Vulnerabilities!$G:$G,1,FALSE),"")</x:f>
      </x:c>
    </x:row>
    <x:row r="147">
      <x:c r="A147" s="1">
        <x:f t="shared" si="2"/>
        <x:v>37</x:v>
      </x:c>
      <x:c r="B147" t="str">
        <x:f>IF(VLOOKUP($A147,Assets!$A:$C,2,FALSE)=0,"",VLOOKUP($A147,Assets!$A:$C,2,FALSE))</x:f>
      </x:c>
      <x:c r="C147" t="str">
        <x:f>IF(VLOOKUP($A147,Assets!$A:$C,3,FALSE)=0,"",VLOOKUP($A147,Assets!$A:$C,3,FALSE))</x:f>
      </x:c>
      <x:c r="D147" s="16">
        <x:v>1</x:v>
      </x:c>
      <x:c r="E147" s="20" t="str">
        <x:f>_xlfn.IFNA(VLOOKUP(_xlfn.CONCAT("T",E$1,"V",$D147,"A",$A147),Vulnerabilities!$G:$G,1,FALSE),"")</x:f>
      </x:c>
      <x:c r="F147" s="20" t="str">
        <x:f>_xlfn.IFNA(VLOOKUP(_xlfn.CONCAT("T",F$1,"V",$D147,"A",$A147),Vulnerabilities!$G:$G,1,FALSE),"")</x:f>
      </x:c>
      <x:c r="G147" s="20" t="str">
        <x:f>_xlfn.IFNA(VLOOKUP(_xlfn.CONCAT("T",G$1,"V",$D147,"A",$A147),Vulnerabilities!$G:$G,1,FALSE),"")</x:f>
      </x:c>
      <x:c r="H147" s="20" t="str">
        <x:f>_xlfn.IFNA(VLOOKUP(_xlfn.CONCAT("T",H$1,"V",$D147,"A",$A147),Vulnerabilities!$G:$G,1,FALSE),"")</x:f>
      </x:c>
      <x:c r="I147" s="20" t="str">
        <x:f>_xlfn.IFNA(VLOOKUP(_xlfn.CONCAT("T",I$1,"V",$D147,"A",$A147),Vulnerabilities!$G:$G,1,FALSE),"")</x:f>
      </x:c>
      <x:c r="J147" s="20" t="str">
        <x:f>_xlfn.IFNA(VLOOKUP(_xlfn.CONCAT("T",J$1,"V",$D147,"A",$A147),Vulnerabilities!$G:$G,1,FALSE),"")</x:f>
      </x:c>
      <x:c r="K147" s="20" t="str">
        <x:f>_xlfn.IFNA(VLOOKUP(_xlfn.CONCAT("T",K$1,"V",$D147,"A",$A147),Vulnerabilities!$G:$G,1,FALSE),"")</x:f>
      </x:c>
      <x:c r="L147" s="20" t="str">
        <x:f>_xlfn.IFNA(VLOOKUP(_xlfn.CONCAT("T",L$1,"V",$D147,"A",$A147),Vulnerabilities!$G:$G,1,FALSE),"")</x:f>
      </x:c>
      <x:c r="M147" s="20" t="str">
        <x:f>_xlfn.IFNA(VLOOKUP(_xlfn.CONCAT("T",M$1,"V",$D147,"A",$A147),Vulnerabilities!$G:$G,1,FALSE),"")</x:f>
      </x:c>
      <x:c r="N147" s="20" t="str">
        <x:f>_xlfn.IFNA(VLOOKUP(_xlfn.CONCAT("T",N$1,"V",$D147,"A",$A147),Vulnerabilities!$G:$G,1,FALSE),"")</x:f>
      </x:c>
      <x:c r="O147" s="20" t="str">
        <x:f>_xlfn.IFNA(VLOOKUP(_xlfn.CONCAT("T",O$1,"V",$D147,"A",$A147),Vulnerabilities!$G:$G,1,FALSE),"")</x:f>
      </x:c>
      <x:c r="P147" s="16" t="str">
        <x:f>_xlfn.IFNA(VLOOKUP(_xlfn.CONCAT("T",P$1,"V",$D147,"A",$A147),Vulnerabilities!$G:$G,1,FALSE),"")</x:f>
      </x:c>
    </x:row>
    <x:row r="148">
      <x:c r="A148" s="1">
        <x:f t="shared" si="2"/>
        <x:v>37</x:v>
      </x:c>
      <x:c r="B148" t="str">
        <x:f>IF(VLOOKUP($A148,Assets!$A:$C,2,FALSE)=0,"",VLOOKUP($A148,Assets!$A:$C,2,FALSE))</x:f>
      </x:c>
      <x:c r="C148" t="str">
        <x:f>IF(VLOOKUP($A148,Assets!$A:$C,3,FALSE)=0,"",VLOOKUP($A148,Assets!$A:$C,3,FALSE))</x:f>
      </x:c>
      <x:c r="D148" s="16">
        <x:v>2</x:v>
      </x:c>
      <x:c r="E148" s="20" t="str">
        <x:f>_xlfn.IFNA(VLOOKUP(_xlfn.CONCAT("T",E$1,"V",$D148,"A",$A148),Vulnerabilities!$G:$G,1,FALSE),"")</x:f>
      </x:c>
      <x:c r="F148" s="20" t="str">
        <x:f>_xlfn.IFNA(VLOOKUP(_xlfn.CONCAT("T",F$1,"V",$D148,"A",$A148),Vulnerabilities!$G:$G,1,FALSE),"")</x:f>
      </x:c>
      <x:c r="G148" s="20" t="str">
        <x:f>_xlfn.IFNA(VLOOKUP(_xlfn.CONCAT("T",G$1,"V",$D148,"A",$A148),Vulnerabilities!$G:$G,1,FALSE),"")</x:f>
      </x:c>
      <x:c r="H148" s="20" t="str">
        <x:f>_xlfn.IFNA(VLOOKUP(_xlfn.CONCAT("T",H$1,"V",$D148,"A",$A148),Vulnerabilities!$G:$G,1,FALSE),"")</x:f>
      </x:c>
      <x:c r="I148" s="20" t="str">
        <x:f>_xlfn.IFNA(VLOOKUP(_xlfn.CONCAT("T",I$1,"V",$D148,"A",$A148),Vulnerabilities!$G:$G,1,FALSE),"")</x:f>
      </x:c>
      <x:c r="J148" s="20" t="str">
        <x:f>_xlfn.IFNA(VLOOKUP(_xlfn.CONCAT("T",J$1,"V",$D148,"A",$A148),Vulnerabilities!$G:$G,1,FALSE),"")</x:f>
      </x:c>
      <x:c r="K148" s="20" t="str">
        <x:f>_xlfn.IFNA(VLOOKUP(_xlfn.CONCAT("T",K$1,"V",$D148,"A",$A148),Vulnerabilities!$G:$G,1,FALSE),"")</x:f>
      </x:c>
      <x:c r="L148" s="20" t="str">
        <x:f>_xlfn.IFNA(VLOOKUP(_xlfn.CONCAT("T",L$1,"V",$D148,"A",$A148),Vulnerabilities!$G:$G,1,FALSE),"")</x:f>
      </x:c>
      <x:c r="M148" s="20" t="str">
        <x:f>_xlfn.IFNA(VLOOKUP(_xlfn.CONCAT("T",M$1,"V",$D148,"A",$A148),Vulnerabilities!$G:$G,1,FALSE),"")</x:f>
      </x:c>
      <x:c r="N148" s="20" t="str">
        <x:f>_xlfn.IFNA(VLOOKUP(_xlfn.CONCAT("T",N$1,"V",$D148,"A",$A148),Vulnerabilities!$G:$G,1,FALSE),"")</x:f>
      </x:c>
      <x:c r="O148" s="20" t="str">
        <x:f>_xlfn.IFNA(VLOOKUP(_xlfn.CONCAT("T",O$1,"V",$D148,"A",$A148),Vulnerabilities!$G:$G,1,FALSE),"")</x:f>
      </x:c>
      <x:c r="P148" s="16" t="str">
        <x:f>_xlfn.IFNA(VLOOKUP(_xlfn.CONCAT("T",P$1,"V",$D148,"A",$A148),Vulnerabilities!$G:$G,1,FALSE),"")</x:f>
      </x:c>
    </x:row>
    <x:row r="149">
      <x:c r="A149" s="1">
        <x:f t="shared" si="2"/>
        <x:v>37</x:v>
      </x:c>
      <x:c r="B149" t="str">
        <x:f>IF(VLOOKUP($A149,Assets!$A:$C,2,FALSE)=0,"",VLOOKUP($A149,Assets!$A:$C,2,FALSE))</x:f>
      </x:c>
      <x:c r="C149" t="str">
        <x:f>IF(VLOOKUP($A149,Assets!$A:$C,3,FALSE)=0,"",VLOOKUP($A149,Assets!$A:$C,3,FALSE))</x:f>
      </x:c>
      <x:c r="D149" s="16">
        <x:v>3</x:v>
      </x:c>
      <x:c r="E149" s="20" t="str">
        <x:f>_xlfn.IFNA(VLOOKUP(_xlfn.CONCAT("T",E$1,"V",$D149,"A",$A149),Vulnerabilities!$G:$G,1,FALSE),"")</x:f>
      </x:c>
      <x:c r="F149" s="20" t="str">
        <x:f>_xlfn.IFNA(VLOOKUP(_xlfn.CONCAT("T",F$1,"V",$D149,"A",$A149),Vulnerabilities!$G:$G,1,FALSE),"")</x:f>
      </x:c>
      <x:c r="G149" s="20" t="str">
        <x:f>_xlfn.IFNA(VLOOKUP(_xlfn.CONCAT("T",G$1,"V",$D149,"A",$A149),Vulnerabilities!$G:$G,1,FALSE),"")</x:f>
      </x:c>
      <x:c r="H149" s="20" t="str">
        <x:f>_xlfn.IFNA(VLOOKUP(_xlfn.CONCAT("T",H$1,"V",$D149,"A",$A149),Vulnerabilities!$G:$G,1,FALSE),"")</x:f>
      </x:c>
      <x:c r="I149" s="20" t="str">
        <x:f>_xlfn.IFNA(VLOOKUP(_xlfn.CONCAT("T",I$1,"V",$D149,"A",$A149),Vulnerabilities!$G:$G,1,FALSE),"")</x:f>
      </x:c>
      <x:c r="J149" s="20" t="str">
        <x:f>_xlfn.IFNA(VLOOKUP(_xlfn.CONCAT("T",J$1,"V",$D149,"A",$A149),Vulnerabilities!$G:$G,1,FALSE),"")</x:f>
      </x:c>
      <x:c r="K149" s="20" t="str">
        <x:f>_xlfn.IFNA(VLOOKUP(_xlfn.CONCAT("T",K$1,"V",$D149,"A",$A149),Vulnerabilities!$G:$G,1,FALSE),"")</x:f>
      </x:c>
      <x:c r="L149" s="20" t="str">
        <x:f>_xlfn.IFNA(VLOOKUP(_xlfn.CONCAT("T",L$1,"V",$D149,"A",$A149),Vulnerabilities!$G:$G,1,FALSE),"")</x:f>
      </x:c>
      <x:c r="M149" s="20" t="str">
        <x:f>_xlfn.IFNA(VLOOKUP(_xlfn.CONCAT("T",M$1,"V",$D149,"A",$A149),Vulnerabilities!$G:$G,1,FALSE),"")</x:f>
      </x:c>
      <x:c r="N149" s="20" t="str">
        <x:f>_xlfn.IFNA(VLOOKUP(_xlfn.CONCAT("T",N$1,"V",$D149,"A",$A149),Vulnerabilities!$G:$G,1,FALSE),"")</x:f>
      </x:c>
      <x:c r="O149" s="20" t="str">
        <x:f>_xlfn.IFNA(VLOOKUP(_xlfn.CONCAT("T",O$1,"V",$D149,"A",$A149),Vulnerabilities!$G:$G,1,FALSE),"")</x:f>
      </x:c>
      <x:c r="P149" s="16" t="str">
        <x:f>_xlfn.IFNA(VLOOKUP(_xlfn.CONCAT("T",P$1,"V",$D149,"A",$A149),Vulnerabilities!$G:$G,1,FALSE),"")</x:f>
      </x:c>
    </x:row>
    <x:row r="150">
      <x:c r="A150" s="11">
        <x:f t="shared" si="2"/>
        <x:v>37</x:v>
      </x:c>
      <x:c r="B150" s="12" t="str">
        <x:f>IF(VLOOKUP($A150,Assets!$A:$C,2,FALSE)=0,"",VLOOKUP($A150,Assets!$A:$C,2,FALSE))</x:f>
      </x:c>
      <x:c r="C150" s="12" t="str">
        <x:f>IF(VLOOKUP($A150,Assets!$A:$C,3,FALSE)=0,"",VLOOKUP($A150,Assets!$A:$C,3,FALSE))</x:f>
      </x:c>
      <x:c r="D150" s="17">
        <x:v>4</x:v>
      </x:c>
      <x:c r="E150" s="21" t="str">
        <x:f>_xlfn.IFNA(VLOOKUP(_xlfn.CONCAT("T",E$1,"V",$D150,"A",$A150),Vulnerabilities!$G:$G,1,FALSE),"")</x:f>
      </x:c>
      <x:c r="F150" s="21" t="str">
        <x:f>_xlfn.IFNA(VLOOKUP(_xlfn.CONCAT("T",F$1,"V",$D150,"A",$A150),Vulnerabilities!$G:$G,1,FALSE),"")</x:f>
      </x:c>
      <x:c r="G150" s="21" t="str">
        <x:f>_xlfn.IFNA(VLOOKUP(_xlfn.CONCAT("T",G$1,"V",$D150,"A",$A150),Vulnerabilities!$G:$G,1,FALSE),"")</x:f>
      </x:c>
      <x:c r="H150" s="21" t="str">
        <x:f>_xlfn.IFNA(VLOOKUP(_xlfn.CONCAT("T",H$1,"V",$D150,"A",$A150),Vulnerabilities!$G:$G,1,FALSE),"")</x:f>
      </x:c>
      <x:c r="I150" s="21" t="str">
        <x:f>_xlfn.IFNA(VLOOKUP(_xlfn.CONCAT("T",I$1,"V",$D150,"A",$A150),Vulnerabilities!$G:$G,1,FALSE),"")</x:f>
      </x:c>
      <x:c r="J150" s="21" t="str">
        <x:f>_xlfn.IFNA(VLOOKUP(_xlfn.CONCAT("T",J$1,"V",$D150,"A",$A150),Vulnerabilities!$G:$G,1,FALSE),"")</x:f>
      </x:c>
      <x:c r="K150" s="21" t="str">
        <x:f>_xlfn.IFNA(VLOOKUP(_xlfn.CONCAT("T",K$1,"V",$D150,"A",$A150),Vulnerabilities!$G:$G,1,FALSE),"")</x:f>
      </x:c>
      <x:c r="L150" s="21" t="str">
        <x:f>_xlfn.IFNA(VLOOKUP(_xlfn.CONCAT("T",L$1,"V",$D150,"A",$A150),Vulnerabilities!$G:$G,1,FALSE),"")</x:f>
      </x:c>
      <x:c r="M150" s="21" t="str">
        <x:f>_xlfn.IFNA(VLOOKUP(_xlfn.CONCAT("T",M$1,"V",$D150,"A",$A150),Vulnerabilities!$G:$G,1,FALSE),"")</x:f>
      </x:c>
      <x:c r="N150" s="21" t="str">
        <x:f>_xlfn.IFNA(VLOOKUP(_xlfn.CONCAT("T",N$1,"V",$D150,"A",$A150),Vulnerabilities!$G:$G,1,FALSE),"")</x:f>
      </x:c>
      <x:c r="O150" s="21" t="str">
        <x:f>_xlfn.IFNA(VLOOKUP(_xlfn.CONCAT("T",O$1,"V",$D150,"A",$A150),Vulnerabilities!$G:$G,1,FALSE),"")</x:f>
      </x:c>
      <x:c r="P150" s="17" t="str">
        <x:f>_xlfn.IFNA(VLOOKUP(_xlfn.CONCAT("T",P$1,"V",$D150,"A",$A150),Vulnerabilities!$G:$G,1,FALSE),"")</x:f>
      </x:c>
    </x:row>
    <x:row r="151">
      <x:c r="A151" s="1">
        <x:f t="shared" si="2"/>
        <x:v>38</x:v>
      </x:c>
      <x:c r="B151" t="str">
        <x:f>IF(VLOOKUP($A151,Assets!$A:$C,2,FALSE)=0,"",VLOOKUP($A151,Assets!$A:$C,2,FALSE))</x:f>
      </x:c>
      <x:c r="C151" t="str">
        <x:f>IF(VLOOKUP($A151,Assets!$A:$C,3,FALSE)=0,"",VLOOKUP($A151,Assets!$A:$C,3,FALSE))</x:f>
      </x:c>
      <x:c r="D151" s="16">
        <x:v>1</x:v>
      </x:c>
      <x:c r="E151" s="20" t="str">
        <x:f>_xlfn.IFNA(VLOOKUP(_xlfn.CONCAT("T",E$1,"V",$D151,"A",$A151),Vulnerabilities!$G:$G,1,FALSE),"")</x:f>
      </x:c>
      <x:c r="F151" s="20" t="str">
        <x:f>_xlfn.IFNA(VLOOKUP(_xlfn.CONCAT("T",F$1,"V",$D151,"A",$A151),Vulnerabilities!$G:$G,1,FALSE),"")</x:f>
      </x:c>
      <x:c r="G151" s="20" t="str">
        <x:f>_xlfn.IFNA(VLOOKUP(_xlfn.CONCAT("T",G$1,"V",$D151,"A",$A151),Vulnerabilities!$G:$G,1,FALSE),"")</x:f>
      </x:c>
      <x:c r="H151" s="20" t="str">
        <x:f>_xlfn.IFNA(VLOOKUP(_xlfn.CONCAT("T",H$1,"V",$D151,"A",$A151),Vulnerabilities!$G:$G,1,FALSE),"")</x:f>
      </x:c>
      <x:c r="I151" s="20" t="str">
        <x:f>_xlfn.IFNA(VLOOKUP(_xlfn.CONCAT("T",I$1,"V",$D151,"A",$A151),Vulnerabilities!$G:$G,1,FALSE),"")</x:f>
      </x:c>
      <x:c r="J151" s="20" t="str">
        <x:f>_xlfn.IFNA(VLOOKUP(_xlfn.CONCAT("T",J$1,"V",$D151,"A",$A151),Vulnerabilities!$G:$G,1,FALSE),"")</x:f>
      </x:c>
      <x:c r="K151" s="20" t="str">
        <x:f>_xlfn.IFNA(VLOOKUP(_xlfn.CONCAT("T",K$1,"V",$D151,"A",$A151),Vulnerabilities!$G:$G,1,FALSE),"")</x:f>
      </x:c>
      <x:c r="L151" s="20" t="str">
        <x:f>_xlfn.IFNA(VLOOKUP(_xlfn.CONCAT("T",L$1,"V",$D151,"A",$A151),Vulnerabilities!$G:$G,1,FALSE),"")</x:f>
      </x:c>
      <x:c r="M151" s="20" t="str">
        <x:f>_xlfn.IFNA(VLOOKUP(_xlfn.CONCAT("T",M$1,"V",$D151,"A",$A151),Vulnerabilities!$G:$G,1,FALSE),"")</x:f>
      </x:c>
      <x:c r="N151" s="20" t="str">
        <x:f>_xlfn.IFNA(VLOOKUP(_xlfn.CONCAT("T",N$1,"V",$D151,"A",$A151),Vulnerabilities!$G:$G,1,FALSE),"")</x:f>
      </x:c>
      <x:c r="O151" s="20" t="str">
        <x:f>_xlfn.IFNA(VLOOKUP(_xlfn.CONCAT("T",O$1,"V",$D151,"A",$A151),Vulnerabilities!$G:$G,1,FALSE),"")</x:f>
      </x:c>
      <x:c r="P151" s="16" t="str">
        <x:f>_xlfn.IFNA(VLOOKUP(_xlfn.CONCAT("T",P$1,"V",$D151,"A",$A151),Vulnerabilities!$G:$G,1,FALSE),"")</x:f>
      </x:c>
    </x:row>
    <x:row r="152">
      <x:c r="A152" s="1">
        <x:f t="shared" si="2"/>
        <x:v>38</x:v>
      </x:c>
      <x:c r="B152" t="str">
        <x:f>IF(VLOOKUP($A152,Assets!$A:$C,2,FALSE)=0,"",VLOOKUP($A152,Assets!$A:$C,2,FALSE))</x:f>
      </x:c>
      <x:c r="C152" t="str">
        <x:f>IF(VLOOKUP($A152,Assets!$A:$C,3,FALSE)=0,"",VLOOKUP($A152,Assets!$A:$C,3,FALSE))</x:f>
      </x:c>
      <x:c r="D152" s="16">
        <x:v>2</x:v>
      </x:c>
      <x:c r="E152" s="20" t="str">
        <x:f>_xlfn.IFNA(VLOOKUP(_xlfn.CONCAT("T",E$1,"V",$D152,"A",$A152),Vulnerabilities!$G:$G,1,FALSE),"")</x:f>
      </x:c>
      <x:c r="F152" s="20" t="str">
        <x:f>_xlfn.IFNA(VLOOKUP(_xlfn.CONCAT("T",F$1,"V",$D152,"A",$A152),Vulnerabilities!$G:$G,1,FALSE),"")</x:f>
      </x:c>
      <x:c r="G152" s="20" t="str">
        <x:f>_xlfn.IFNA(VLOOKUP(_xlfn.CONCAT("T",G$1,"V",$D152,"A",$A152),Vulnerabilities!$G:$G,1,FALSE),"")</x:f>
      </x:c>
      <x:c r="H152" s="20" t="str">
        <x:f>_xlfn.IFNA(VLOOKUP(_xlfn.CONCAT("T",H$1,"V",$D152,"A",$A152),Vulnerabilities!$G:$G,1,FALSE),"")</x:f>
      </x:c>
      <x:c r="I152" s="20" t="str">
        <x:f>_xlfn.IFNA(VLOOKUP(_xlfn.CONCAT("T",I$1,"V",$D152,"A",$A152),Vulnerabilities!$G:$G,1,FALSE),"")</x:f>
      </x:c>
      <x:c r="J152" s="20" t="str">
        <x:f>_xlfn.IFNA(VLOOKUP(_xlfn.CONCAT("T",J$1,"V",$D152,"A",$A152),Vulnerabilities!$G:$G,1,FALSE),"")</x:f>
      </x:c>
      <x:c r="K152" s="20" t="str">
        <x:f>_xlfn.IFNA(VLOOKUP(_xlfn.CONCAT("T",K$1,"V",$D152,"A",$A152),Vulnerabilities!$G:$G,1,FALSE),"")</x:f>
      </x:c>
      <x:c r="L152" s="20" t="str">
        <x:f>_xlfn.IFNA(VLOOKUP(_xlfn.CONCAT("T",L$1,"V",$D152,"A",$A152),Vulnerabilities!$G:$G,1,FALSE),"")</x:f>
      </x:c>
      <x:c r="M152" s="20" t="str">
        <x:f>_xlfn.IFNA(VLOOKUP(_xlfn.CONCAT("T",M$1,"V",$D152,"A",$A152),Vulnerabilities!$G:$G,1,FALSE),"")</x:f>
      </x:c>
      <x:c r="N152" s="20" t="str">
        <x:f>_xlfn.IFNA(VLOOKUP(_xlfn.CONCAT("T",N$1,"V",$D152,"A",$A152),Vulnerabilities!$G:$G,1,FALSE),"")</x:f>
      </x:c>
      <x:c r="O152" s="20" t="str">
        <x:f>_xlfn.IFNA(VLOOKUP(_xlfn.CONCAT("T",O$1,"V",$D152,"A",$A152),Vulnerabilities!$G:$G,1,FALSE),"")</x:f>
      </x:c>
      <x:c r="P152" s="16" t="str">
        <x:f>_xlfn.IFNA(VLOOKUP(_xlfn.CONCAT("T",P$1,"V",$D152,"A",$A152),Vulnerabilities!$G:$G,1,FALSE),"")</x:f>
      </x:c>
    </x:row>
    <x:row r="153">
      <x:c r="A153" s="1">
        <x:f t="shared" si="2"/>
        <x:v>38</x:v>
      </x:c>
      <x:c r="B153" t="str">
        <x:f>IF(VLOOKUP($A153,Assets!$A:$C,2,FALSE)=0,"",VLOOKUP($A153,Assets!$A:$C,2,FALSE))</x:f>
      </x:c>
      <x:c r="C153" t="str">
        <x:f>IF(VLOOKUP($A153,Assets!$A:$C,3,FALSE)=0,"",VLOOKUP($A153,Assets!$A:$C,3,FALSE))</x:f>
      </x:c>
      <x:c r="D153" s="16">
        <x:v>3</x:v>
      </x:c>
      <x:c r="E153" s="20" t="str">
        <x:f>_xlfn.IFNA(VLOOKUP(_xlfn.CONCAT("T",E$1,"V",$D153,"A",$A153),Vulnerabilities!$G:$G,1,FALSE),"")</x:f>
      </x:c>
      <x:c r="F153" s="20" t="str">
        <x:f>_xlfn.IFNA(VLOOKUP(_xlfn.CONCAT("T",F$1,"V",$D153,"A",$A153),Vulnerabilities!$G:$G,1,FALSE),"")</x:f>
      </x:c>
      <x:c r="G153" s="20" t="str">
        <x:f>_xlfn.IFNA(VLOOKUP(_xlfn.CONCAT("T",G$1,"V",$D153,"A",$A153),Vulnerabilities!$G:$G,1,FALSE),"")</x:f>
      </x:c>
      <x:c r="H153" s="20" t="str">
        <x:f>_xlfn.IFNA(VLOOKUP(_xlfn.CONCAT("T",H$1,"V",$D153,"A",$A153),Vulnerabilities!$G:$G,1,FALSE),"")</x:f>
      </x:c>
      <x:c r="I153" s="20" t="str">
        <x:f>_xlfn.IFNA(VLOOKUP(_xlfn.CONCAT("T",I$1,"V",$D153,"A",$A153),Vulnerabilities!$G:$G,1,FALSE),"")</x:f>
      </x:c>
      <x:c r="J153" s="20" t="str">
        <x:f>_xlfn.IFNA(VLOOKUP(_xlfn.CONCAT("T",J$1,"V",$D153,"A",$A153),Vulnerabilities!$G:$G,1,FALSE),"")</x:f>
      </x:c>
      <x:c r="K153" s="20" t="str">
        <x:f>_xlfn.IFNA(VLOOKUP(_xlfn.CONCAT("T",K$1,"V",$D153,"A",$A153),Vulnerabilities!$G:$G,1,FALSE),"")</x:f>
      </x:c>
      <x:c r="L153" s="20" t="str">
        <x:f>_xlfn.IFNA(VLOOKUP(_xlfn.CONCAT("T",L$1,"V",$D153,"A",$A153),Vulnerabilities!$G:$G,1,FALSE),"")</x:f>
      </x:c>
      <x:c r="M153" s="20" t="str">
        <x:f>_xlfn.IFNA(VLOOKUP(_xlfn.CONCAT("T",M$1,"V",$D153,"A",$A153),Vulnerabilities!$G:$G,1,FALSE),"")</x:f>
      </x:c>
      <x:c r="N153" s="20" t="str">
        <x:f>_xlfn.IFNA(VLOOKUP(_xlfn.CONCAT("T",N$1,"V",$D153,"A",$A153),Vulnerabilities!$G:$G,1,FALSE),"")</x:f>
      </x:c>
      <x:c r="O153" s="20" t="str">
        <x:f>_xlfn.IFNA(VLOOKUP(_xlfn.CONCAT("T",O$1,"V",$D153,"A",$A153),Vulnerabilities!$G:$G,1,FALSE),"")</x:f>
      </x:c>
      <x:c r="P153" s="16" t="str">
        <x:f>_xlfn.IFNA(VLOOKUP(_xlfn.CONCAT("T",P$1,"V",$D153,"A",$A153),Vulnerabilities!$G:$G,1,FALSE),"")</x:f>
      </x:c>
    </x:row>
    <x:row r="154">
      <x:c r="A154" s="11">
        <x:f t="shared" si="2"/>
        <x:v>38</x:v>
      </x:c>
      <x:c r="B154" s="12" t="str">
        <x:f>IF(VLOOKUP($A154,Assets!$A:$C,2,FALSE)=0,"",VLOOKUP($A154,Assets!$A:$C,2,FALSE))</x:f>
      </x:c>
      <x:c r="C154" s="12" t="str">
        <x:f>IF(VLOOKUP($A154,Assets!$A:$C,3,FALSE)=0,"",VLOOKUP($A154,Assets!$A:$C,3,FALSE))</x:f>
      </x:c>
      <x:c r="D154" s="17">
        <x:v>4</x:v>
      </x:c>
      <x:c r="E154" s="21" t="str">
        <x:f>_xlfn.IFNA(VLOOKUP(_xlfn.CONCAT("T",E$1,"V",$D154,"A",$A154),Vulnerabilities!$G:$G,1,FALSE),"")</x:f>
      </x:c>
      <x:c r="F154" s="21" t="str">
        <x:f>_xlfn.IFNA(VLOOKUP(_xlfn.CONCAT("T",F$1,"V",$D154,"A",$A154),Vulnerabilities!$G:$G,1,FALSE),"")</x:f>
      </x:c>
      <x:c r="G154" s="21" t="str">
        <x:f>_xlfn.IFNA(VLOOKUP(_xlfn.CONCAT("T",G$1,"V",$D154,"A",$A154),Vulnerabilities!$G:$G,1,FALSE),"")</x:f>
      </x:c>
      <x:c r="H154" s="21" t="str">
        <x:f>_xlfn.IFNA(VLOOKUP(_xlfn.CONCAT("T",H$1,"V",$D154,"A",$A154),Vulnerabilities!$G:$G,1,FALSE),"")</x:f>
      </x:c>
      <x:c r="I154" s="21" t="str">
        <x:f>_xlfn.IFNA(VLOOKUP(_xlfn.CONCAT("T",I$1,"V",$D154,"A",$A154),Vulnerabilities!$G:$G,1,FALSE),"")</x:f>
      </x:c>
      <x:c r="J154" s="21" t="str">
        <x:f>_xlfn.IFNA(VLOOKUP(_xlfn.CONCAT("T",J$1,"V",$D154,"A",$A154),Vulnerabilities!$G:$G,1,FALSE),"")</x:f>
      </x:c>
      <x:c r="K154" s="21" t="str">
        <x:f>_xlfn.IFNA(VLOOKUP(_xlfn.CONCAT("T",K$1,"V",$D154,"A",$A154),Vulnerabilities!$G:$G,1,FALSE),"")</x:f>
      </x:c>
      <x:c r="L154" s="21" t="str">
        <x:f>_xlfn.IFNA(VLOOKUP(_xlfn.CONCAT("T",L$1,"V",$D154,"A",$A154),Vulnerabilities!$G:$G,1,FALSE),"")</x:f>
      </x:c>
      <x:c r="M154" s="21" t="str">
        <x:f>_xlfn.IFNA(VLOOKUP(_xlfn.CONCAT("T",M$1,"V",$D154,"A",$A154),Vulnerabilities!$G:$G,1,FALSE),"")</x:f>
      </x:c>
      <x:c r="N154" s="21" t="str">
        <x:f>_xlfn.IFNA(VLOOKUP(_xlfn.CONCAT("T",N$1,"V",$D154,"A",$A154),Vulnerabilities!$G:$G,1,FALSE),"")</x:f>
      </x:c>
      <x:c r="O154" s="21" t="str">
        <x:f>_xlfn.IFNA(VLOOKUP(_xlfn.CONCAT("T",O$1,"V",$D154,"A",$A154),Vulnerabilities!$G:$G,1,FALSE),"")</x:f>
      </x:c>
      <x:c r="P154" s="17" t="str">
        <x:f>_xlfn.IFNA(VLOOKUP(_xlfn.CONCAT("T",P$1,"V",$D154,"A",$A154),Vulnerabilities!$G:$G,1,FALSE),"")</x:f>
      </x:c>
    </x:row>
    <x:row r="155">
      <x:c r="A155" s="1" t="n">
        <x:f t="shared" ref="A155:A218" si="3">A151+1</x:f>
        <x:v>39</x:v>
      </x:c>
      <x:c r="B155" t="str">
        <x:f>IF(VLOOKUP($A155,Assets!$A:$C,2,FALSE)=0,"",VLOOKUP($A155,Assets!$A:$C,2,FALSE))</x:f>
      </x:c>
      <x:c r="C155" t="str">
        <x:f>IF(VLOOKUP($A155,Assets!$A:$C,3,FALSE)=0,"",VLOOKUP($A155,Assets!$A:$C,3,FALSE))</x:f>
      </x:c>
      <x:c r="D155" s="16">
        <x:v>1</x:v>
      </x:c>
      <x:c r="E155" s="20" t="str">
        <x:f>_xlfn.IFNA(VLOOKUP(_xlfn.CONCAT("T",E$1,"V",$D155,"A",$A155),Vulnerabilities!$G:$G,1,FALSE),"")</x:f>
      </x:c>
      <x:c r="F155" s="20" t="str">
        <x:f>_xlfn.IFNA(VLOOKUP(_xlfn.CONCAT("T",F$1,"V",$D155,"A",$A155),Vulnerabilities!$G:$G,1,FALSE),"")</x:f>
      </x:c>
      <x:c r="G155" s="20" t="str">
        <x:f>_xlfn.IFNA(VLOOKUP(_xlfn.CONCAT("T",G$1,"V",$D155,"A",$A155),Vulnerabilities!$G:$G,1,FALSE),"")</x:f>
      </x:c>
      <x:c r="H155" s="20" t="str">
        <x:f>_xlfn.IFNA(VLOOKUP(_xlfn.CONCAT("T",H$1,"V",$D155,"A",$A155),Vulnerabilities!$G:$G,1,FALSE),"")</x:f>
      </x:c>
      <x:c r="I155" s="20" t="str">
        <x:f>_xlfn.IFNA(VLOOKUP(_xlfn.CONCAT("T",I$1,"V",$D155,"A",$A155),Vulnerabilities!$G:$G,1,FALSE),"")</x:f>
      </x:c>
      <x:c r="J155" s="20" t="str">
        <x:f>_xlfn.IFNA(VLOOKUP(_xlfn.CONCAT("T",J$1,"V",$D155,"A",$A155),Vulnerabilities!$G:$G,1,FALSE),"")</x:f>
      </x:c>
      <x:c r="K155" s="20" t="str">
        <x:f>_xlfn.IFNA(VLOOKUP(_xlfn.CONCAT("T",K$1,"V",$D155,"A",$A155),Vulnerabilities!$G:$G,1,FALSE),"")</x:f>
      </x:c>
      <x:c r="L155" s="20" t="str">
        <x:f>_xlfn.IFNA(VLOOKUP(_xlfn.CONCAT("T",L$1,"V",$D155,"A",$A155),Vulnerabilities!$G:$G,1,FALSE),"")</x:f>
      </x:c>
      <x:c r="M155" s="20" t="str">
        <x:f>_xlfn.IFNA(VLOOKUP(_xlfn.CONCAT("T",M$1,"V",$D155,"A",$A155),Vulnerabilities!$G:$G,1,FALSE),"")</x:f>
      </x:c>
      <x:c r="N155" s="20" t="str">
        <x:f>_xlfn.IFNA(VLOOKUP(_xlfn.CONCAT("T",N$1,"V",$D155,"A",$A155),Vulnerabilities!$G:$G,1,FALSE),"")</x:f>
      </x:c>
      <x:c r="O155" s="20" t="str">
        <x:f>_xlfn.IFNA(VLOOKUP(_xlfn.CONCAT("T",O$1,"V",$D155,"A",$A155),Vulnerabilities!$G:$G,1,FALSE),"")</x:f>
      </x:c>
      <x:c r="P155" s="16" t="str">
        <x:f>_xlfn.IFNA(VLOOKUP(_xlfn.CONCAT("T",P$1,"V",$D155,"A",$A155),Vulnerabilities!$G:$G,1,FALSE),"")</x:f>
      </x:c>
    </x:row>
    <x:row r="156">
      <x:c r="A156" s="1">
        <x:f t="shared" si="3"/>
        <x:v>39</x:v>
      </x:c>
      <x:c r="B156" t="str">
        <x:f>IF(VLOOKUP($A156,Assets!$A:$C,2,FALSE)=0,"",VLOOKUP($A156,Assets!$A:$C,2,FALSE))</x:f>
      </x:c>
      <x:c r="C156" t="str">
        <x:f>IF(VLOOKUP($A156,Assets!$A:$C,3,FALSE)=0,"",VLOOKUP($A156,Assets!$A:$C,3,FALSE))</x:f>
      </x:c>
      <x:c r="D156" s="16">
        <x:v>2</x:v>
      </x:c>
      <x:c r="E156" s="20" t="str">
        <x:f>_xlfn.IFNA(VLOOKUP(_xlfn.CONCAT("T",E$1,"V",$D156,"A",$A156),Vulnerabilities!$G:$G,1,FALSE),"")</x:f>
      </x:c>
      <x:c r="F156" s="20" t="str">
        <x:f>_xlfn.IFNA(VLOOKUP(_xlfn.CONCAT("T",F$1,"V",$D156,"A",$A156),Vulnerabilities!$G:$G,1,FALSE),"")</x:f>
      </x:c>
      <x:c r="G156" s="20" t="str">
        <x:f>_xlfn.IFNA(VLOOKUP(_xlfn.CONCAT("T",G$1,"V",$D156,"A",$A156),Vulnerabilities!$G:$G,1,FALSE),"")</x:f>
      </x:c>
      <x:c r="H156" s="20" t="str">
        <x:f>_xlfn.IFNA(VLOOKUP(_xlfn.CONCAT("T",H$1,"V",$D156,"A",$A156),Vulnerabilities!$G:$G,1,FALSE),"")</x:f>
      </x:c>
      <x:c r="I156" s="20" t="str">
        <x:f>_xlfn.IFNA(VLOOKUP(_xlfn.CONCAT("T",I$1,"V",$D156,"A",$A156),Vulnerabilities!$G:$G,1,FALSE),"")</x:f>
      </x:c>
      <x:c r="J156" s="20" t="str">
        <x:f>_xlfn.IFNA(VLOOKUP(_xlfn.CONCAT("T",J$1,"V",$D156,"A",$A156),Vulnerabilities!$G:$G,1,FALSE),"")</x:f>
      </x:c>
      <x:c r="K156" s="20" t="str">
        <x:f>_xlfn.IFNA(VLOOKUP(_xlfn.CONCAT("T",K$1,"V",$D156,"A",$A156),Vulnerabilities!$G:$G,1,FALSE),"")</x:f>
      </x:c>
      <x:c r="L156" s="20" t="str">
        <x:f>_xlfn.IFNA(VLOOKUP(_xlfn.CONCAT("T",L$1,"V",$D156,"A",$A156),Vulnerabilities!$G:$G,1,FALSE),"")</x:f>
      </x:c>
      <x:c r="M156" s="20" t="str">
        <x:f>_xlfn.IFNA(VLOOKUP(_xlfn.CONCAT("T",M$1,"V",$D156,"A",$A156),Vulnerabilities!$G:$G,1,FALSE),"")</x:f>
      </x:c>
      <x:c r="N156" s="20" t="str">
        <x:f>_xlfn.IFNA(VLOOKUP(_xlfn.CONCAT("T",N$1,"V",$D156,"A",$A156),Vulnerabilities!$G:$G,1,FALSE),"")</x:f>
      </x:c>
      <x:c r="O156" s="20" t="str">
        <x:f>_xlfn.IFNA(VLOOKUP(_xlfn.CONCAT("T",O$1,"V",$D156,"A",$A156),Vulnerabilities!$G:$G,1,FALSE),"")</x:f>
      </x:c>
      <x:c r="P156" s="16" t="str">
        <x:f>_xlfn.IFNA(VLOOKUP(_xlfn.CONCAT("T",P$1,"V",$D156,"A",$A156),Vulnerabilities!$G:$G,1,FALSE),"")</x:f>
      </x:c>
    </x:row>
    <x:row r="157">
      <x:c r="A157" s="1">
        <x:f t="shared" si="3"/>
        <x:v>39</x:v>
      </x:c>
      <x:c r="B157" t="str">
        <x:f>IF(VLOOKUP($A157,Assets!$A:$C,2,FALSE)=0,"",VLOOKUP($A157,Assets!$A:$C,2,FALSE))</x:f>
      </x:c>
      <x:c r="C157" t="str">
        <x:f>IF(VLOOKUP($A157,Assets!$A:$C,3,FALSE)=0,"",VLOOKUP($A157,Assets!$A:$C,3,FALSE))</x:f>
      </x:c>
      <x:c r="D157" s="16">
        <x:v>3</x:v>
      </x:c>
      <x:c r="E157" s="20" t="str">
        <x:f>_xlfn.IFNA(VLOOKUP(_xlfn.CONCAT("T",E$1,"V",$D157,"A",$A157),Vulnerabilities!$G:$G,1,FALSE),"")</x:f>
      </x:c>
      <x:c r="F157" s="20" t="str">
        <x:f>_xlfn.IFNA(VLOOKUP(_xlfn.CONCAT("T",F$1,"V",$D157,"A",$A157),Vulnerabilities!$G:$G,1,FALSE),"")</x:f>
      </x:c>
      <x:c r="G157" s="20" t="str">
        <x:f>_xlfn.IFNA(VLOOKUP(_xlfn.CONCAT("T",G$1,"V",$D157,"A",$A157),Vulnerabilities!$G:$G,1,FALSE),"")</x:f>
      </x:c>
      <x:c r="H157" s="20" t="str">
        <x:f>_xlfn.IFNA(VLOOKUP(_xlfn.CONCAT("T",H$1,"V",$D157,"A",$A157),Vulnerabilities!$G:$G,1,FALSE),"")</x:f>
      </x:c>
      <x:c r="I157" s="20" t="str">
        <x:f>_xlfn.IFNA(VLOOKUP(_xlfn.CONCAT("T",I$1,"V",$D157,"A",$A157),Vulnerabilities!$G:$G,1,FALSE),"")</x:f>
      </x:c>
      <x:c r="J157" s="20" t="str">
        <x:f>_xlfn.IFNA(VLOOKUP(_xlfn.CONCAT("T",J$1,"V",$D157,"A",$A157),Vulnerabilities!$G:$G,1,FALSE),"")</x:f>
      </x:c>
      <x:c r="K157" s="20" t="str">
        <x:f>_xlfn.IFNA(VLOOKUP(_xlfn.CONCAT("T",K$1,"V",$D157,"A",$A157),Vulnerabilities!$G:$G,1,FALSE),"")</x:f>
      </x:c>
      <x:c r="L157" s="20" t="str">
        <x:f>_xlfn.IFNA(VLOOKUP(_xlfn.CONCAT("T",L$1,"V",$D157,"A",$A157),Vulnerabilities!$G:$G,1,FALSE),"")</x:f>
      </x:c>
      <x:c r="M157" s="20" t="str">
        <x:f>_xlfn.IFNA(VLOOKUP(_xlfn.CONCAT("T",M$1,"V",$D157,"A",$A157),Vulnerabilities!$G:$G,1,FALSE),"")</x:f>
      </x:c>
      <x:c r="N157" s="20" t="str">
        <x:f>_xlfn.IFNA(VLOOKUP(_xlfn.CONCAT("T",N$1,"V",$D157,"A",$A157),Vulnerabilities!$G:$G,1,FALSE),"")</x:f>
      </x:c>
      <x:c r="O157" s="20" t="str">
        <x:f>_xlfn.IFNA(VLOOKUP(_xlfn.CONCAT("T",O$1,"V",$D157,"A",$A157),Vulnerabilities!$G:$G,1,FALSE),"")</x:f>
      </x:c>
      <x:c r="P157" s="16" t="str">
        <x:f>_xlfn.IFNA(VLOOKUP(_xlfn.CONCAT("T",P$1,"V",$D157,"A",$A157),Vulnerabilities!$G:$G,1,FALSE),"")</x:f>
      </x:c>
    </x:row>
    <x:row r="158">
      <x:c r="A158" s="11">
        <x:f t="shared" si="3"/>
        <x:v>39</x:v>
      </x:c>
      <x:c r="B158" s="12" t="str">
        <x:f>IF(VLOOKUP($A158,Assets!$A:$C,2,FALSE)=0,"",VLOOKUP($A158,Assets!$A:$C,2,FALSE))</x:f>
      </x:c>
      <x:c r="C158" s="12" t="str">
        <x:f>IF(VLOOKUP($A158,Assets!$A:$C,3,FALSE)=0,"",VLOOKUP($A158,Assets!$A:$C,3,FALSE))</x:f>
      </x:c>
      <x:c r="D158" s="17">
        <x:v>4</x:v>
      </x:c>
      <x:c r="E158" s="21" t="str">
        <x:f>_xlfn.IFNA(VLOOKUP(_xlfn.CONCAT("T",E$1,"V",$D158,"A",$A158),Vulnerabilities!$G:$G,1,FALSE),"")</x:f>
      </x:c>
      <x:c r="F158" s="21" t="str">
        <x:f>_xlfn.IFNA(VLOOKUP(_xlfn.CONCAT("T",F$1,"V",$D158,"A",$A158),Vulnerabilities!$G:$G,1,FALSE),"")</x:f>
      </x:c>
      <x:c r="G158" s="21" t="str">
        <x:f>_xlfn.IFNA(VLOOKUP(_xlfn.CONCAT("T",G$1,"V",$D158,"A",$A158),Vulnerabilities!$G:$G,1,FALSE),"")</x:f>
      </x:c>
      <x:c r="H158" s="21" t="str">
        <x:f>_xlfn.IFNA(VLOOKUP(_xlfn.CONCAT("T",H$1,"V",$D158,"A",$A158),Vulnerabilities!$G:$G,1,FALSE),"")</x:f>
      </x:c>
      <x:c r="I158" s="21" t="str">
        <x:f>_xlfn.IFNA(VLOOKUP(_xlfn.CONCAT("T",I$1,"V",$D158,"A",$A158),Vulnerabilities!$G:$G,1,FALSE),"")</x:f>
      </x:c>
      <x:c r="J158" s="21" t="str">
        <x:f>_xlfn.IFNA(VLOOKUP(_xlfn.CONCAT("T",J$1,"V",$D158,"A",$A158),Vulnerabilities!$G:$G,1,FALSE),"")</x:f>
      </x:c>
      <x:c r="K158" s="21" t="str">
        <x:f>_xlfn.IFNA(VLOOKUP(_xlfn.CONCAT("T",K$1,"V",$D158,"A",$A158),Vulnerabilities!$G:$G,1,FALSE),"")</x:f>
      </x:c>
      <x:c r="L158" s="21" t="str">
        <x:f>_xlfn.IFNA(VLOOKUP(_xlfn.CONCAT("T",L$1,"V",$D158,"A",$A158),Vulnerabilities!$G:$G,1,FALSE),"")</x:f>
      </x:c>
      <x:c r="M158" s="21" t="str">
        <x:f>_xlfn.IFNA(VLOOKUP(_xlfn.CONCAT("T",M$1,"V",$D158,"A",$A158),Vulnerabilities!$G:$G,1,FALSE),"")</x:f>
      </x:c>
      <x:c r="N158" s="21" t="str">
        <x:f>_xlfn.IFNA(VLOOKUP(_xlfn.CONCAT("T",N$1,"V",$D158,"A",$A158),Vulnerabilities!$G:$G,1,FALSE),"")</x:f>
      </x:c>
      <x:c r="O158" s="21" t="str">
        <x:f>_xlfn.IFNA(VLOOKUP(_xlfn.CONCAT("T",O$1,"V",$D158,"A",$A158),Vulnerabilities!$G:$G,1,FALSE),"")</x:f>
      </x:c>
      <x:c r="P158" s="17" t="str">
        <x:f>_xlfn.IFNA(VLOOKUP(_xlfn.CONCAT("T",P$1,"V",$D158,"A",$A158),Vulnerabilities!$G:$G,1,FALSE),"")</x:f>
      </x:c>
    </x:row>
    <x:row r="159">
      <x:c r="A159" s="1">
        <x:f t="shared" si="3"/>
        <x:v>40</x:v>
      </x:c>
      <x:c r="B159" t="str">
        <x:f>IF(VLOOKUP($A159,Assets!$A:$C,2,FALSE)=0,"",VLOOKUP($A159,Assets!$A:$C,2,FALSE))</x:f>
      </x:c>
      <x:c r="C159" t="str">
        <x:f>IF(VLOOKUP($A159,Assets!$A:$C,3,FALSE)=0,"",VLOOKUP($A159,Assets!$A:$C,3,FALSE))</x:f>
      </x:c>
      <x:c r="D159" s="16">
        <x:v>1</x:v>
      </x:c>
      <x:c r="E159" s="20" t="str">
        <x:f>_xlfn.IFNA(VLOOKUP(_xlfn.CONCAT("T",E$1,"V",$D159,"A",$A159),Vulnerabilities!$G:$G,1,FALSE),"")</x:f>
      </x:c>
      <x:c r="F159" s="20" t="str">
        <x:f>_xlfn.IFNA(VLOOKUP(_xlfn.CONCAT("T",F$1,"V",$D159,"A",$A159),Vulnerabilities!$G:$G,1,FALSE),"")</x:f>
      </x:c>
      <x:c r="G159" s="20" t="str">
        <x:f>_xlfn.IFNA(VLOOKUP(_xlfn.CONCAT("T",G$1,"V",$D159,"A",$A159),Vulnerabilities!$G:$G,1,FALSE),"")</x:f>
      </x:c>
      <x:c r="H159" s="20" t="str">
        <x:f>_xlfn.IFNA(VLOOKUP(_xlfn.CONCAT("T",H$1,"V",$D159,"A",$A159),Vulnerabilities!$G:$G,1,FALSE),"")</x:f>
      </x:c>
      <x:c r="I159" s="20" t="str">
        <x:f>_xlfn.IFNA(VLOOKUP(_xlfn.CONCAT("T",I$1,"V",$D159,"A",$A159),Vulnerabilities!$G:$G,1,FALSE),"")</x:f>
      </x:c>
      <x:c r="J159" s="20" t="str">
        <x:f>_xlfn.IFNA(VLOOKUP(_xlfn.CONCAT("T",J$1,"V",$D159,"A",$A159),Vulnerabilities!$G:$G,1,FALSE),"")</x:f>
      </x:c>
      <x:c r="K159" s="20" t="str">
        <x:f>_xlfn.IFNA(VLOOKUP(_xlfn.CONCAT("T",K$1,"V",$D159,"A",$A159),Vulnerabilities!$G:$G,1,FALSE),"")</x:f>
      </x:c>
      <x:c r="L159" s="20" t="str">
        <x:f>_xlfn.IFNA(VLOOKUP(_xlfn.CONCAT("T",L$1,"V",$D159,"A",$A159),Vulnerabilities!$G:$G,1,FALSE),"")</x:f>
      </x:c>
      <x:c r="M159" s="20" t="str">
        <x:f>_xlfn.IFNA(VLOOKUP(_xlfn.CONCAT("T",M$1,"V",$D159,"A",$A159),Vulnerabilities!$G:$G,1,FALSE),"")</x:f>
      </x:c>
      <x:c r="N159" s="20" t="str">
        <x:f>_xlfn.IFNA(VLOOKUP(_xlfn.CONCAT("T",N$1,"V",$D159,"A",$A159),Vulnerabilities!$G:$G,1,FALSE),"")</x:f>
      </x:c>
      <x:c r="O159" s="20" t="str">
        <x:f>_xlfn.IFNA(VLOOKUP(_xlfn.CONCAT("T",O$1,"V",$D159,"A",$A159),Vulnerabilities!$G:$G,1,FALSE),"")</x:f>
      </x:c>
      <x:c r="P159" s="16" t="str">
        <x:f>_xlfn.IFNA(VLOOKUP(_xlfn.CONCAT("T",P$1,"V",$D159,"A",$A159),Vulnerabilities!$G:$G,1,FALSE),"")</x:f>
      </x:c>
    </x:row>
    <x:row r="160">
      <x:c r="A160" s="1">
        <x:f t="shared" si="3"/>
        <x:v>40</x:v>
      </x:c>
      <x:c r="B160" t="str">
        <x:f>IF(VLOOKUP($A160,Assets!$A:$C,2,FALSE)=0,"",VLOOKUP($A160,Assets!$A:$C,2,FALSE))</x:f>
      </x:c>
      <x:c r="C160" t="str">
        <x:f>IF(VLOOKUP($A160,Assets!$A:$C,3,FALSE)=0,"",VLOOKUP($A160,Assets!$A:$C,3,FALSE))</x:f>
      </x:c>
      <x:c r="D160" s="16">
        <x:v>2</x:v>
      </x:c>
      <x:c r="E160" s="20" t="str">
        <x:f>_xlfn.IFNA(VLOOKUP(_xlfn.CONCAT("T",E$1,"V",$D160,"A",$A160),Vulnerabilities!$G:$G,1,FALSE),"")</x:f>
      </x:c>
      <x:c r="F160" s="20" t="str">
        <x:f>_xlfn.IFNA(VLOOKUP(_xlfn.CONCAT("T",F$1,"V",$D160,"A",$A160),Vulnerabilities!$G:$G,1,FALSE),"")</x:f>
      </x:c>
      <x:c r="G160" s="20" t="str">
        <x:f>_xlfn.IFNA(VLOOKUP(_xlfn.CONCAT("T",G$1,"V",$D160,"A",$A160),Vulnerabilities!$G:$G,1,FALSE),"")</x:f>
      </x:c>
      <x:c r="H160" s="20" t="str">
        <x:f>_xlfn.IFNA(VLOOKUP(_xlfn.CONCAT("T",H$1,"V",$D160,"A",$A160),Vulnerabilities!$G:$G,1,FALSE),"")</x:f>
      </x:c>
      <x:c r="I160" s="20" t="str">
        <x:f>_xlfn.IFNA(VLOOKUP(_xlfn.CONCAT("T",I$1,"V",$D160,"A",$A160),Vulnerabilities!$G:$G,1,FALSE),"")</x:f>
      </x:c>
      <x:c r="J160" s="20" t="str">
        <x:f>_xlfn.IFNA(VLOOKUP(_xlfn.CONCAT("T",J$1,"V",$D160,"A",$A160),Vulnerabilities!$G:$G,1,FALSE),"")</x:f>
      </x:c>
      <x:c r="K160" s="20" t="str">
        <x:f>_xlfn.IFNA(VLOOKUP(_xlfn.CONCAT("T",K$1,"V",$D160,"A",$A160),Vulnerabilities!$G:$G,1,FALSE),"")</x:f>
      </x:c>
      <x:c r="L160" s="20" t="str">
        <x:f>_xlfn.IFNA(VLOOKUP(_xlfn.CONCAT("T",L$1,"V",$D160,"A",$A160),Vulnerabilities!$G:$G,1,FALSE),"")</x:f>
      </x:c>
      <x:c r="M160" s="20" t="str">
        <x:f>_xlfn.IFNA(VLOOKUP(_xlfn.CONCAT("T",M$1,"V",$D160,"A",$A160),Vulnerabilities!$G:$G,1,FALSE),"")</x:f>
      </x:c>
      <x:c r="N160" s="20" t="str">
        <x:f>_xlfn.IFNA(VLOOKUP(_xlfn.CONCAT("T",N$1,"V",$D160,"A",$A160),Vulnerabilities!$G:$G,1,FALSE),"")</x:f>
      </x:c>
      <x:c r="O160" s="20" t="str">
        <x:f>_xlfn.IFNA(VLOOKUP(_xlfn.CONCAT("T",O$1,"V",$D160,"A",$A160),Vulnerabilities!$G:$G,1,FALSE),"")</x:f>
      </x:c>
      <x:c r="P160" s="16" t="str">
        <x:f>_xlfn.IFNA(VLOOKUP(_xlfn.CONCAT("T",P$1,"V",$D160,"A",$A160),Vulnerabilities!$G:$G,1,FALSE),"")</x:f>
      </x:c>
    </x:row>
    <x:row r="161">
      <x:c r="A161" s="1">
        <x:f t="shared" si="3"/>
        <x:v>40</x:v>
      </x:c>
      <x:c r="B161" t="str">
        <x:f>IF(VLOOKUP($A161,Assets!$A:$C,2,FALSE)=0,"",VLOOKUP($A161,Assets!$A:$C,2,FALSE))</x:f>
      </x:c>
      <x:c r="C161" t="str">
        <x:f>IF(VLOOKUP($A161,Assets!$A:$C,3,FALSE)=0,"",VLOOKUP($A161,Assets!$A:$C,3,FALSE))</x:f>
      </x:c>
      <x:c r="D161" s="16">
        <x:v>3</x:v>
      </x:c>
      <x:c r="E161" s="20" t="str">
        <x:f>_xlfn.IFNA(VLOOKUP(_xlfn.CONCAT("T",E$1,"V",$D161,"A",$A161),Vulnerabilities!$G:$G,1,FALSE),"")</x:f>
      </x:c>
      <x:c r="F161" s="20" t="str">
        <x:f>_xlfn.IFNA(VLOOKUP(_xlfn.CONCAT("T",F$1,"V",$D161,"A",$A161),Vulnerabilities!$G:$G,1,FALSE),"")</x:f>
      </x:c>
      <x:c r="G161" s="20" t="str">
        <x:f>_xlfn.IFNA(VLOOKUP(_xlfn.CONCAT("T",G$1,"V",$D161,"A",$A161),Vulnerabilities!$G:$G,1,FALSE),"")</x:f>
      </x:c>
      <x:c r="H161" s="20" t="str">
        <x:f>_xlfn.IFNA(VLOOKUP(_xlfn.CONCAT("T",H$1,"V",$D161,"A",$A161),Vulnerabilities!$G:$G,1,FALSE),"")</x:f>
      </x:c>
      <x:c r="I161" s="20" t="str">
        <x:f>_xlfn.IFNA(VLOOKUP(_xlfn.CONCAT("T",I$1,"V",$D161,"A",$A161),Vulnerabilities!$G:$G,1,FALSE),"")</x:f>
      </x:c>
      <x:c r="J161" s="20" t="str">
        <x:f>_xlfn.IFNA(VLOOKUP(_xlfn.CONCAT("T",J$1,"V",$D161,"A",$A161),Vulnerabilities!$G:$G,1,FALSE),"")</x:f>
      </x:c>
      <x:c r="K161" s="20" t="str">
        <x:f>_xlfn.IFNA(VLOOKUP(_xlfn.CONCAT("T",K$1,"V",$D161,"A",$A161),Vulnerabilities!$G:$G,1,FALSE),"")</x:f>
      </x:c>
      <x:c r="L161" s="20" t="str">
        <x:f>_xlfn.IFNA(VLOOKUP(_xlfn.CONCAT("T",L$1,"V",$D161,"A",$A161),Vulnerabilities!$G:$G,1,FALSE),"")</x:f>
      </x:c>
      <x:c r="M161" s="20" t="str">
        <x:f>_xlfn.IFNA(VLOOKUP(_xlfn.CONCAT("T",M$1,"V",$D161,"A",$A161),Vulnerabilities!$G:$G,1,FALSE),"")</x:f>
      </x:c>
      <x:c r="N161" s="20" t="str">
        <x:f>_xlfn.IFNA(VLOOKUP(_xlfn.CONCAT("T",N$1,"V",$D161,"A",$A161),Vulnerabilities!$G:$G,1,FALSE),"")</x:f>
      </x:c>
      <x:c r="O161" s="20" t="str">
        <x:f>_xlfn.IFNA(VLOOKUP(_xlfn.CONCAT("T",O$1,"V",$D161,"A",$A161),Vulnerabilities!$G:$G,1,FALSE),"")</x:f>
      </x:c>
      <x:c r="P161" s="16" t="str">
        <x:f>_xlfn.IFNA(VLOOKUP(_xlfn.CONCAT("T",P$1,"V",$D161,"A",$A161),Vulnerabilities!$G:$G,1,FALSE),"")</x:f>
      </x:c>
    </x:row>
    <x:row r="162">
      <x:c r="A162" s="11">
        <x:f t="shared" si="3"/>
        <x:v>40</x:v>
      </x:c>
      <x:c r="B162" s="12" t="str">
        <x:f>IF(VLOOKUP($A162,Assets!$A:$C,2,FALSE)=0,"",VLOOKUP($A162,Assets!$A:$C,2,FALSE))</x:f>
      </x:c>
      <x:c r="C162" s="12" t="str">
        <x:f>IF(VLOOKUP($A162,Assets!$A:$C,3,FALSE)=0,"",VLOOKUP($A162,Assets!$A:$C,3,FALSE))</x:f>
      </x:c>
      <x:c r="D162" s="17">
        <x:v>4</x:v>
      </x:c>
      <x:c r="E162" s="21" t="str">
        <x:f>_xlfn.IFNA(VLOOKUP(_xlfn.CONCAT("T",E$1,"V",$D162,"A",$A162),Vulnerabilities!$G:$G,1,FALSE),"")</x:f>
      </x:c>
      <x:c r="F162" s="21" t="str">
        <x:f>_xlfn.IFNA(VLOOKUP(_xlfn.CONCAT("T",F$1,"V",$D162,"A",$A162),Vulnerabilities!$G:$G,1,FALSE),"")</x:f>
      </x:c>
      <x:c r="G162" s="21" t="str">
        <x:f>_xlfn.IFNA(VLOOKUP(_xlfn.CONCAT("T",G$1,"V",$D162,"A",$A162),Vulnerabilities!$G:$G,1,FALSE),"")</x:f>
      </x:c>
      <x:c r="H162" s="21" t="str">
        <x:f>_xlfn.IFNA(VLOOKUP(_xlfn.CONCAT("T",H$1,"V",$D162,"A",$A162),Vulnerabilities!$G:$G,1,FALSE),"")</x:f>
      </x:c>
      <x:c r="I162" s="21" t="str">
        <x:f>_xlfn.IFNA(VLOOKUP(_xlfn.CONCAT("T",I$1,"V",$D162,"A",$A162),Vulnerabilities!$G:$G,1,FALSE),"")</x:f>
      </x:c>
      <x:c r="J162" s="21" t="str">
        <x:f>_xlfn.IFNA(VLOOKUP(_xlfn.CONCAT("T",J$1,"V",$D162,"A",$A162),Vulnerabilities!$G:$G,1,FALSE),"")</x:f>
      </x:c>
      <x:c r="K162" s="21" t="str">
        <x:f>_xlfn.IFNA(VLOOKUP(_xlfn.CONCAT("T",K$1,"V",$D162,"A",$A162),Vulnerabilities!$G:$G,1,FALSE),"")</x:f>
      </x:c>
      <x:c r="L162" s="21" t="str">
        <x:f>_xlfn.IFNA(VLOOKUP(_xlfn.CONCAT("T",L$1,"V",$D162,"A",$A162),Vulnerabilities!$G:$G,1,FALSE),"")</x:f>
      </x:c>
      <x:c r="M162" s="21" t="str">
        <x:f>_xlfn.IFNA(VLOOKUP(_xlfn.CONCAT("T",M$1,"V",$D162,"A",$A162),Vulnerabilities!$G:$G,1,FALSE),"")</x:f>
      </x:c>
      <x:c r="N162" s="21" t="str">
        <x:f>_xlfn.IFNA(VLOOKUP(_xlfn.CONCAT("T",N$1,"V",$D162,"A",$A162),Vulnerabilities!$G:$G,1,FALSE),"")</x:f>
      </x:c>
      <x:c r="O162" s="21" t="str">
        <x:f>_xlfn.IFNA(VLOOKUP(_xlfn.CONCAT("T",O$1,"V",$D162,"A",$A162),Vulnerabilities!$G:$G,1,FALSE),"")</x:f>
      </x:c>
      <x:c r="P162" s="17" t="str">
        <x:f>_xlfn.IFNA(VLOOKUP(_xlfn.CONCAT("T",P$1,"V",$D162,"A",$A162),Vulnerabilities!$G:$G,1,FALSE),"")</x:f>
      </x:c>
    </x:row>
    <x:row r="163">
      <x:c r="A163" s="1">
        <x:f t="shared" si="3"/>
        <x:v>41</x:v>
      </x:c>
      <x:c r="B163" t="str">
        <x:f>IF(VLOOKUP($A163,Assets!$A:$C,2,FALSE)=0,"",VLOOKUP($A163,Assets!$A:$C,2,FALSE))</x:f>
      </x:c>
      <x:c r="C163" t="str">
        <x:f>IF(VLOOKUP($A163,Assets!$A:$C,3,FALSE)=0,"",VLOOKUP($A163,Assets!$A:$C,3,FALSE))</x:f>
      </x:c>
      <x:c r="D163" s="16">
        <x:v>1</x:v>
      </x:c>
      <x:c r="E163" s="20" t="str">
        <x:f>_xlfn.IFNA(VLOOKUP(_xlfn.CONCAT("T",E$1,"V",$D163,"A",$A163),Vulnerabilities!$G:$G,1,FALSE),"")</x:f>
      </x:c>
      <x:c r="F163" s="20" t="str">
        <x:f>_xlfn.IFNA(VLOOKUP(_xlfn.CONCAT("T",F$1,"V",$D163,"A",$A163),Vulnerabilities!$G:$G,1,FALSE),"")</x:f>
      </x:c>
      <x:c r="G163" s="20" t="str">
        <x:f>_xlfn.IFNA(VLOOKUP(_xlfn.CONCAT("T",G$1,"V",$D163,"A",$A163),Vulnerabilities!$G:$G,1,FALSE),"")</x:f>
      </x:c>
      <x:c r="H163" s="20" t="str">
        <x:f>_xlfn.IFNA(VLOOKUP(_xlfn.CONCAT("T",H$1,"V",$D163,"A",$A163),Vulnerabilities!$G:$G,1,FALSE),"")</x:f>
      </x:c>
      <x:c r="I163" s="20" t="str">
        <x:f>_xlfn.IFNA(VLOOKUP(_xlfn.CONCAT("T",I$1,"V",$D163,"A",$A163),Vulnerabilities!$G:$G,1,FALSE),"")</x:f>
      </x:c>
      <x:c r="J163" s="20" t="str">
        <x:f>_xlfn.IFNA(VLOOKUP(_xlfn.CONCAT("T",J$1,"V",$D163,"A",$A163),Vulnerabilities!$G:$G,1,FALSE),"")</x:f>
      </x:c>
      <x:c r="K163" s="20" t="str">
        <x:f>_xlfn.IFNA(VLOOKUP(_xlfn.CONCAT("T",K$1,"V",$D163,"A",$A163),Vulnerabilities!$G:$G,1,FALSE),"")</x:f>
      </x:c>
      <x:c r="L163" s="20" t="str">
        <x:f>_xlfn.IFNA(VLOOKUP(_xlfn.CONCAT("T",L$1,"V",$D163,"A",$A163),Vulnerabilities!$G:$G,1,FALSE),"")</x:f>
      </x:c>
      <x:c r="M163" s="20" t="str">
        <x:f>_xlfn.IFNA(VLOOKUP(_xlfn.CONCAT("T",M$1,"V",$D163,"A",$A163),Vulnerabilities!$G:$G,1,FALSE),"")</x:f>
      </x:c>
      <x:c r="N163" s="20" t="str">
        <x:f>_xlfn.IFNA(VLOOKUP(_xlfn.CONCAT("T",N$1,"V",$D163,"A",$A163),Vulnerabilities!$G:$G,1,FALSE),"")</x:f>
      </x:c>
      <x:c r="O163" s="20" t="str">
        <x:f>_xlfn.IFNA(VLOOKUP(_xlfn.CONCAT("T",O$1,"V",$D163,"A",$A163),Vulnerabilities!$G:$G,1,FALSE),"")</x:f>
      </x:c>
      <x:c r="P163" s="16" t="str">
        <x:f>_xlfn.IFNA(VLOOKUP(_xlfn.CONCAT("T",P$1,"V",$D163,"A",$A163),Vulnerabilities!$G:$G,1,FALSE),"")</x:f>
      </x:c>
    </x:row>
    <x:row r="164">
      <x:c r="A164" s="1">
        <x:f t="shared" si="3"/>
        <x:v>41</x:v>
      </x:c>
      <x:c r="B164" t="str">
        <x:f>IF(VLOOKUP($A164,Assets!$A:$C,2,FALSE)=0,"",VLOOKUP($A164,Assets!$A:$C,2,FALSE))</x:f>
      </x:c>
      <x:c r="C164" t="str">
        <x:f>IF(VLOOKUP($A164,Assets!$A:$C,3,FALSE)=0,"",VLOOKUP($A164,Assets!$A:$C,3,FALSE))</x:f>
      </x:c>
      <x:c r="D164" s="16">
        <x:v>2</x:v>
      </x:c>
      <x:c r="E164" s="20" t="str">
        <x:f>_xlfn.IFNA(VLOOKUP(_xlfn.CONCAT("T",E$1,"V",$D164,"A",$A164),Vulnerabilities!$G:$G,1,FALSE),"")</x:f>
      </x:c>
      <x:c r="F164" s="20" t="str">
        <x:f>_xlfn.IFNA(VLOOKUP(_xlfn.CONCAT("T",F$1,"V",$D164,"A",$A164),Vulnerabilities!$G:$G,1,FALSE),"")</x:f>
      </x:c>
      <x:c r="G164" s="20" t="str">
        <x:f>_xlfn.IFNA(VLOOKUP(_xlfn.CONCAT("T",G$1,"V",$D164,"A",$A164),Vulnerabilities!$G:$G,1,FALSE),"")</x:f>
      </x:c>
      <x:c r="H164" s="20" t="str">
        <x:f>_xlfn.IFNA(VLOOKUP(_xlfn.CONCAT("T",H$1,"V",$D164,"A",$A164),Vulnerabilities!$G:$G,1,FALSE),"")</x:f>
      </x:c>
      <x:c r="I164" s="20" t="str">
        <x:f>_xlfn.IFNA(VLOOKUP(_xlfn.CONCAT("T",I$1,"V",$D164,"A",$A164),Vulnerabilities!$G:$G,1,FALSE),"")</x:f>
      </x:c>
      <x:c r="J164" s="20" t="str">
        <x:f>_xlfn.IFNA(VLOOKUP(_xlfn.CONCAT("T",J$1,"V",$D164,"A",$A164),Vulnerabilities!$G:$G,1,FALSE),"")</x:f>
      </x:c>
      <x:c r="K164" s="20" t="str">
        <x:f>_xlfn.IFNA(VLOOKUP(_xlfn.CONCAT("T",K$1,"V",$D164,"A",$A164),Vulnerabilities!$G:$G,1,FALSE),"")</x:f>
      </x:c>
      <x:c r="L164" s="20" t="str">
        <x:f>_xlfn.IFNA(VLOOKUP(_xlfn.CONCAT("T",L$1,"V",$D164,"A",$A164),Vulnerabilities!$G:$G,1,FALSE),"")</x:f>
      </x:c>
      <x:c r="M164" s="20" t="str">
        <x:f>_xlfn.IFNA(VLOOKUP(_xlfn.CONCAT("T",M$1,"V",$D164,"A",$A164),Vulnerabilities!$G:$G,1,FALSE),"")</x:f>
      </x:c>
      <x:c r="N164" s="20" t="str">
        <x:f>_xlfn.IFNA(VLOOKUP(_xlfn.CONCAT("T",N$1,"V",$D164,"A",$A164),Vulnerabilities!$G:$G,1,FALSE),"")</x:f>
      </x:c>
      <x:c r="O164" s="20" t="str">
        <x:f>_xlfn.IFNA(VLOOKUP(_xlfn.CONCAT("T",O$1,"V",$D164,"A",$A164),Vulnerabilities!$G:$G,1,FALSE),"")</x:f>
      </x:c>
      <x:c r="P164" s="16" t="str">
        <x:f>_xlfn.IFNA(VLOOKUP(_xlfn.CONCAT("T",P$1,"V",$D164,"A",$A164),Vulnerabilities!$G:$G,1,FALSE),"")</x:f>
      </x:c>
    </x:row>
    <x:row r="165">
      <x:c r="A165" s="1">
        <x:f t="shared" si="3"/>
        <x:v>41</x:v>
      </x:c>
      <x:c r="B165" t="str">
        <x:f>IF(VLOOKUP($A165,Assets!$A:$C,2,FALSE)=0,"",VLOOKUP($A165,Assets!$A:$C,2,FALSE))</x:f>
      </x:c>
      <x:c r="C165" t="str">
        <x:f>IF(VLOOKUP($A165,Assets!$A:$C,3,FALSE)=0,"",VLOOKUP($A165,Assets!$A:$C,3,FALSE))</x:f>
      </x:c>
      <x:c r="D165" s="16">
        <x:v>3</x:v>
      </x:c>
      <x:c r="E165" s="20" t="str">
        <x:f>_xlfn.IFNA(VLOOKUP(_xlfn.CONCAT("T",E$1,"V",$D165,"A",$A165),Vulnerabilities!$G:$G,1,FALSE),"")</x:f>
      </x:c>
      <x:c r="F165" s="20" t="str">
        <x:f>_xlfn.IFNA(VLOOKUP(_xlfn.CONCAT("T",F$1,"V",$D165,"A",$A165),Vulnerabilities!$G:$G,1,FALSE),"")</x:f>
      </x:c>
      <x:c r="G165" s="20" t="str">
        <x:f>_xlfn.IFNA(VLOOKUP(_xlfn.CONCAT("T",G$1,"V",$D165,"A",$A165),Vulnerabilities!$G:$G,1,FALSE),"")</x:f>
      </x:c>
      <x:c r="H165" s="20" t="str">
        <x:f>_xlfn.IFNA(VLOOKUP(_xlfn.CONCAT("T",H$1,"V",$D165,"A",$A165),Vulnerabilities!$G:$G,1,FALSE),"")</x:f>
      </x:c>
      <x:c r="I165" s="20" t="str">
        <x:f>_xlfn.IFNA(VLOOKUP(_xlfn.CONCAT("T",I$1,"V",$D165,"A",$A165),Vulnerabilities!$G:$G,1,FALSE),"")</x:f>
      </x:c>
      <x:c r="J165" s="20" t="str">
        <x:f>_xlfn.IFNA(VLOOKUP(_xlfn.CONCAT("T",J$1,"V",$D165,"A",$A165),Vulnerabilities!$G:$G,1,FALSE),"")</x:f>
      </x:c>
      <x:c r="K165" s="20" t="str">
        <x:f>_xlfn.IFNA(VLOOKUP(_xlfn.CONCAT("T",K$1,"V",$D165,"A",$A165),Vulnerabilities!$G:$G,1,FALSE),"")</x:f>
      </x:c>
      <x:c r="L165" s="20" t="str">
        <x:f>_xlfn.IFNA(VLOOKUP(_xlfn.CONCAT("T",L$1,"V",$D165,"A",$A165),Vulnerabilities!$G:$G,1,FALSE),"")</x:f>
      </x:c>
      <x:c r="M165" s="20" t="str">
        <x:f>_xlfn.IFNA(VLOOKUP(_xlfn.CONCAT("T",M$1,"V",$D165,"A",$A165),Vulnerabilities!$G:$G,1,FALSE),"")</x:f>
      </x:c>
      <x:c r="N165" s="20" t="str">
        <x:f>_xlfn.IFNA(VLOOKUP(_xlfn.CONCAT("T",N$1,"V",$D165,"A",$A165),Vulnerabilities!$G:$G,1,FALSE),"")</x:f>
      </x:c>
      <x:c r="O165" s="20" t="str">
        <x:f>_xlfn.IFNA(VLOOKUP(_xlfn.CONCAT("T",O$1,"V",$D165,"A",$A165),Vulnerabilities!$G:$G,1,FALSE),"")</x:f>
      </x:c>
      <x:c r="P165" s="16" t="str">
        <x:f>_xlfn.IFNA(VLOOKUP(_xlfn.CONCAT("T",P$1,"V",$D165,"A",$A165),Vulnerabilities!$G:$G,1,FALSE),"")</x:f>
      </x:c>
    </x:row>
    <x:row r="166">
      <x:c r="A166" s="11">
        <x:f t="shared" si="3"/>
        <x:v>41</x:v>
      </x:c>
      <x:c r="B166" s="12" t="str">
        <x:f>IF(VLOOKUP($A166,Assets!$A:$C,2,FALSE)=0,"",VLOOKUP($A166,Assets!$A:$C,2,FALSE))</x:f>
      </x:c>
      <x:c r="C166" s="12" t="str">
        <x:f>IF(VLOOKUP($A166,Assets!$A:$C,3,FALSE)=0,"",VLOOKUP($A166,Assets!$A:$C,3,FALSE))</x:f>
      </x:c>
      <x:c r="D166" s="17">
        <x:v>4</x:v>
      </x:c>
      <x:c r="E166" s="21" t="str">
        <x:f>_xlfn.IFNA(VLOOKUP(_xlfn.CONCAT("T",E$1,"V",$D166,"A",$A166),Vulnerabilities!$G:$G,1,FALSE),"")</x:f>
      </x:c>
      <x:c r="F166" s="21" t="str">
        <x:f>_xlfn.IFNA(VLOOKUP(_xlfn.CONCAT("T",F$1,"V",$D166,"A",$A166),Vulnerabilities!$G:$G,1,FALSE),"")</x:f>
      </x:c>
      <x:c r="G166" s="21" t="str">
        <x:f>_xlfn.IFNA(VLOOKUP(_xlfn.CONCAT("T",G$1,"V",$D166,"A",$A166),Vulnerabilities!$G:$G,1,FALSE),"")</x:f>
      </x:c>
      <x:c r="H166" s="21" t="str">
        <x:f>_xlfn.IFNA(VLOOKUP(_xlfn.CONCAT("T",H$1,"V",$D166,"A",$A166),Vulnerabilities!$G:$G,1,FALSE),"")</x:f>
      </x:c>
      <x:c r="I166" s="21" t="str">
        <x:f>_xlfn.IFNA(VLOOKUP(_xlfn.CONCAT("T",I$1,"V",$D166,"A",$A166),Vulnerabilities!$G:$G,1,FALSE),"")</x:f>
      </x:c>
      <x:c r="J166" s="21" t="str">
        <x:f>_xlfn.IFNA(VLOOKUP(_xlfn.CONCAT("T",J$1,"V",$D166,"A",$A166),Vulnerabilities!$G:$G,1,FALSE),"")</x:f>
      </x:c>
      <x:c r="K166" s="21" t="str">
        <x:f>_xlfn.IFNA(VLOOKUP(_xlfn.CONCAT("T",K$1,"V",$D166,"A",$A166),Vulnerabilities!$G:$G,1,FALSE),"")</x:f>
      </x:c>
      <x:c r="L166" s="21" t="str">
        <x:f>_xlfn.IFNA(VLOOKUP(_xlfn.CONCAT("T",L$1,"V",$D166,"A",$A166),Vulnerabilities!$G:$G,1,FALSE),"")</x:f>
      </x:c>
      <x:c r="M166" s="21" t="str">
        <x:f>_xlfn.IFNA(VLOOKUP(_xlfn.CONCAT("T",M$1,"V",$D166,"A",$A166),Vulnerabilities!$G:$G,1,FALSE),"")</x:f>
      </x:c>
      <x:c r="N166" s="21" t="str">
        <x:f>_xlfn.IFNA(VLOOKUP(_xlfn.CONCAT("T",N$1,"V",$D166,"A",$A166),Vulnerabilities!$G:$G,1,FALSE),"")</x:f>
      </x:c>
      <x:c r="O166" s="21" t="str">
        <x:f>_xlfn.IFNA(VLOOKUP(_xlfn.CONCAT("T",O$1,"V",$D166,"A",$A166),Vulnerabilities!$G:$G,1,FALSE),"")</x:f>
      </x:c>
      <x:c r="P166" s="17" t="str">
        <x:f>_xlfn.IFNA(VLOOKUP(_xlfn.CONCAT("T",P$1,"V",$D166,"A",$A166),Vulnerabilities!$G:$G,1,FALSE),"")</x:f>
      </x:c>
    </x:row>
    <x:row r="167">
      <x:c r="A167" s="1">
        <x:f t="shared" si="3"/>
        <x:v>42</x:v>
      </x:c>
      <x:c r="B167" t="str">
        <x:f>IF(VLOOKUP($A167,Assets!$A:$C,2,FALSE)=0,"",VLOOKUP($A167,Assets!$A:$C,2,FALSE))</x:f>
      </x:c>
      <x:c r="C167" t="str">
        <x:f>IF(VLOOKUP($A167,Assets!$A:$C,3,FALSE)=0,"",VLOOKUP($A167,Assets!$A:$C,3,FALSE))</x:f>
      </x:c>
      <x:c r="D167" s="16">
        <x:v>1</x:v>
      </x:c>
      <x:c r="E167" s="20" t="str">
        <x:f>_xlfn.IFNA(VLOOKUP(_xlfn.CONCAT("T",E$1,"V",$D167,"A",$A167),Vulnerabilities!$G:$G,1,FALSE),"")</x:f>
      </x:c>
      <x:c r="F167" s="20" t="str">
        <x:f>_xlfn.IFNA(VLOOKUP(_xlfn.CONCAT("T",F$1,"V",$D167,"A",$A167),Vulnerabilities!$G:$G,1,FALSE),"")</x:f>
      </x:c>
      <x:c r="G167" s="20" t="str">
        <x:f>_xlfn.IFNA(VLOOKUP(_xlfn.CONCAT("T",G$1,"V",$D167,"A",$A167),Vulnerabilities!$G:$G,1,FALSE),"")</x:f>
      </x:c>
      <x:c r="H167" s="20" t="str">
        <x:f>_xlfn.IFNA(VLOOKUP(_xlfn.CONCAT("T",H$1,"V",$D167,"A",$A167),Vulnerabilities!$G:$G,1,FALSE),"")</x:f>
      </x:c>
      <x:c r="I167" s="20" t="str">
        <x:f>_xlfn.IFNA(VLOOKUP(_xlfn.CONCAT("T",I$1,"V",$D167,"A",$A167),Vulnerabilities!$G:$G,1,FALSE),"")</x:f>
      </x:c>
      <x:c r="J167" s="20" t="str">
        <x:f>_xlfn.IFNA(VLOOKUP(_xlfn.CONCAT("T",J$1,"V",$D167,"A",$A167),Vulnerabilities!$G:$G,1,FALSE),"")</x:f>
      </x:c>
      <x:c r="K167" s="20" t="str">
        <x:f>_xlfn.IFNA(VLOOKUP(_xlfn.CONCAT("T",K$1,"V",$D167,"A",$A167),Vulnerabilities!$G:$G,1,FALSE),"")</x:f>
      </x:c>
      <x:c r="L167" s="20" t="str">
        <x:f>_xlfn.IFNA(VLOOKUP(_xlfn.CONCAT("T",L$1,"V",$D167,"A",$A167),Vulnerabilities!$G:$G,1,FALSE),"")</x:f>
      </x:c>
      <x:c r="M167" s="20" t="str">
        <x:f>_xlfn.IFNA(VLOOKUP(_xlfn.CONCAT("T",M$1,"V",$D167,"A",$A167),Vulnerabilities!$G:$G,1,FALSE),"")</x:f>
      </x:c>
      <x:c r="N167" s="20" t="str">
        <x:f>_xlfn.IFNA(VLOOKUP(_xlfn.CONCAT("T",N$1,"V",$D167,"A",$A167),Vulnerabilities!$G:$G,1,FALSE),"")</x:f>
      </x:c>
      <x:c r="O167" s="20" t="str">
        <x:f>_xlfn.IFNA(VLOOKUP(_xlfn.CONCAT("T",O$1,"V",$D167,"A",$A167),Vulnerabilities!$G:$G,1,FALSE),"")</x:f>
      </x:c>
      <x:c r="P167" s="16" t="str">
        <x:f>_xlfn.IFNA(VLOOKUP(_xlfn.CONCAT("T",P$1,"V",$D167,"A",$A167),Vulnerabilities!$G:$G,1,FALSE),"")</x:f>
      </x:c>
    </x:row>
    <x:row r="168">
      <x:c r="A168" s="1">
        <x:f t="shared" si="3"/>
        <x:v>42</x:v>
      </x:c>
      <x:c r="B168" t="str">
        <x:f>IF(VLOOKUP($A168,Assets!$A:$C,2,FALSE)=0,"",VLOOKUP($A168,Assets!$A:$C,2,FALSE))</x:f>
      </x:c>
      <x:c r="C168" t="str">
        <x:f>IF(VLOOKUP($A168,Assets!$A:$C,3,FALSE)=0,"",VLOOKUP($A168,Assets!$A:$C,3,FALSE))</x:f>
      </x:c>
      <x:c r="D168" s="16">
        <x:v>2</x:v>
      </x:c>
      <x:c r="E168" s="20" t="str">
        <x:f>_xlfn.IFNA(VLOOKUP(_xlfn.CONCAT("T",E$1,"V",$D168,"A",$A168),Vulnerabilities!$G:$G,1,FALSE),"")</x:f>
      </x:c>
      <x:c r="F168" s="20" t="str">
        <x:f>_xlfn.IFNA(VLOOKUP(_xlfn.CONCAT("T",F$1,"V",$D168,"A",$A168),Vulnerabilities!$G:$G,1,FALSE),"")</x:f>
      </x:c>
      <x:c r="G168" s="20" t="str">
        <x:f>_xlfn.IFNA(VLOOKUP(_xlfn.CONCAT("T",G$1,"V",$D168,"A",$A168),Vulnerabilities!$G:$G,1,FALSE),"")</x:f>
      </x:c>
      <x:c r="H168" s="20" t="str">
        <x:f>_xlfn.IFNA(VLOOKUP(_xlfn.CONCAT("T",H$1,"V",$D168,"A",$A168),Vulnerabilities!$G:$G,1,FALSE),"")</x:f>
      </x:c>
      <x:c r="I168" s="20" t="str">
        <x:f>_xlfn.IFNA(VLOOKUP(_xlfn.CONCAT("T",I$1,"V",$D168,"A",$A168),Vulnerabilities!$G:$G,1,FALSE),"")</x:f>
      </x:c>
      <x:c r="J168" s="20" t="str">
        <x:f>_xlfn.IFNA(VLOOKUP(_xlfn.CONCAT("T",J$1,"V",$D168,"A",$A168),Vulnerabilities!$G:$G,1,FALSE),"")</x:f>
      </x:c>
      <x:c r="K168" s="20" t="str">
        <x:f>_xlfn.IFNA(VLOOKUP(_xlfn.CONCAT("T",K$1,"V",$D168,"A",$A168),Vulnerabilities!$G:$G,1,FALSE),"")</x:f>
      </x:c>
      <x:c r="L168" s="20" t="str">
        <x:f>_xlfn.IFNA(VLOOKUP(_xlfn.CONCAT("T",L$1,"V",$D168,"A",$A168),Vulnerabilities!$G:$G,1,FALSE),"")</x:f>
      </x:c>
      <x:c r="M168" s="20" t="str">
        <x:f>_xlfn.IFNA(VLOOKUP(_xlfn.CONCAT("T",M$1,"V",$D168,"A",$A168),Vulnerabilities!$G:$G,1,FALSE),"")</x:f>
      </x:c>
      <x:c r="N168" s="20" t="str">
        <x:f>_xlfn.IFNA(VLOOKUP(_xlfn.CONCAT("T",N$1,"V",$D168,"A",$A168),Vulnerabilities!$G:$G,1,FALSE),"")</x:f>
      </x:c>
      <x:c r="O168" s="20" t="str">
        <x:f>_xlfn.IFNA(VLOOKUP(_xlfn.CONCAT("T",O$1,"V",$D168,"A",$A168),Vulnerabilities!$G:$G,1,FALSE),"")</x:f>
      </x:c>
      <x:c r="P168" s="16" t="str">
        <x:f>_xlfn.IFNA(VLOOKUP(_xlfn.CONCAT("T",P$1,"V",$D168,"A",$A168),Vulnerabilities!$G:$G,1,FALSE),"")</x:f>
      </x:c>
    </x:row>
    <x:row r="169">
      <x:c r="A169" s="1">
        <x:f t="shared" si="3"/>
        <x:v>42</x:v>
      </x:c>
      <x:c r="B169" t="str">
        <x:f>IF(VLOOKUP($A169,Assets!$A:$C,2,FALSE)=0,"",VLOOKUP($A169,Assets!$A:$C,2,FALSE))</x:f>
      </x:c>
      <x:c r="C169" t="str">
        <x:f>IF(VLOOKUP($A169,Assets!$A:$C,3,FALSE)=0,"",VLOOKUP($A169,Assets!$A:$C,3,FALSE))</x:f>
      </x:c>
      <x:c r="D169" s="16">
        <x:v>3</x:v>
      </x:c>
      <x:c r="E169" s="20" t="str">
        <x:f>_xlfn.IFNA(VLOOKUP(_xlfn.CONCAT("T",E$1,"V",$D169,"A",$A169),Vulnerabilities!$G:$G,1,FALSE),"")</x:f>
      </x:c>
      <x:c r="F169" s="20" t="str">
        <x:f>_xlfn.IFNA(VLOOKUP(_xlfn.CONCAT("T",F$1,"V",$D169,"A",$A169),Vulnerabilities!$G:$G,1,FALSE),"")</x:f>
      </x:c>
      <x:c r="G169" s="20" t="str">
        <x:f>_xlfn.IFNA(VLOOKUP(_xlfn.CONCAT("T",G$1,"V",$D169,"A",$A169),Vulnerabilities!$G:$G,1,FALSE),"")</x:f>
      </x:c>
      <x:c r="H169" s="20" t="str">
        <x:f>_xlfn.IFNA(VLOOKUP(_xlfn.CONCAT("T",H$1,"V",$D169,"A",$A169),Vulnerabilities!$G:$G,1,FALSE),"")</x:f>
      </x:c>
      <x:c r="I169" s="20" t="str">
        <x:f>_xlfn.IFNA(VLOOKUP(_xlfn.CONCAT("T",I$1,"V",$D169,"A",$A169),Vulnerabilities!$G:$G,1,FALSE),"")</x:f>
      </x:c>
      <x:c r="J169" s="20" t="str">
        <x:f>_xlfn.IFNA(VLOOKUP(_xlfn.CONCAT("T",J$1,"V",$D169,"A",$A169),Vulnerabilities!$G:$G,1,FALSE),"")</x:f>
      </x:c>
      <x:c r="K169" s="20" t="str">
        <x:f>_xlfn.IFNA(VLOOKUP(_xlfn.CONCAT("T",K$1,"V",$D169,"A",$A169),Vulnerabilities!$G:$G,1,FALSE),"")</x:f>
      </x:c>
      <x:c r="L169" s="20" t="str">
        <x:f>_xlfn.IFNA(VLOOKUP(_xlfn.CONCAT("T",L$1,"V",$D169,"A",$A169),Vulnerabilities!$G:$G,1,FALSE),"")</x:f>
      </x:c>
      <x:c r="M169" s="20" t="str">
        <x:f>_xlfn.IFNA(VLOOKUP(_xlfn.CONCAT("T",M$1,"V",$D169,"A",$A169),Vulnerabilities!$G:$G,1,FALSE),"")</x:f>
      </x:c>
      <x:c r="N169" s="20" t="str">
        <x:f>_xlfn.IFNA(VLOOKUP(_xlfn.CONCAT("T",N$1,"V",$D169,"A",$A169),Vulnerabilities!$G:$G,1,FALSE),"")</x:f>
      </x:c>
      <x:c r="O169" s="20" t="str">
        <x:f>_xlfn.IFNA(VLOOKUP(_xlfn.CONCAT("T",O$1,"V",$D169,"A",$A169),Vulnerabilities!$G:$G,1,FALSE),"")</x:f>
      </x:c>
      <x:c r="P169" s="16" t="str">
        <x:f>_xlfn.IFNA(VLOOKUP(_xlfn.CONCAT("T",P$1,"V",$D169,"A",$A169),Vulnerabilities!$G:$G,1,FALSE),"")</x:f>
      </x:c>
    </x:row>
    <x:row r="170">
      <x:c r="A170" s="11">
        <x:f t="shared" si="3"/>
        <x:v>42</x:v>
      </x:c>
      <x:c r="B170" s="12" t="str">
        <x:f>IF(VLOOKUP($A170,Assets!$A:$C,2,FALSE)=0,"",VLOOKUP($A170,Assets!$A:$C,2,FALSE))</x:f>
      </x:c>
      <x:c r="C170" s="12" t="str">
        <x:f>IF(VLOOKUP($A170,Assets!$A:$C,3,FALSE)=0,"",VLOOKUP($A170,Assets!$A:$C,3,FALSE))</x:f>
      </x:c>
      <x:c r="D170" s="17">
        <x:v>4</x:v>
      </x:c>
      <x:c r="E170" s="21" t="str">
        <x:f>_xlfn.IFNA(VLOOKUP(_xlfn.CONCAT("T",E$1,"V",$D170,"A",$A170),Vulnerabilities!$G:$G,1,FALSE),"")</x:f>
      </x:c>
      <x:c r="F170" s="21" t="str">
        <x:f>_xlfn.IFNA(VLOOKUP(_xlfn.CONCAT("T",F$1,"V",$D170,"A",$A170),Vulnerabilities!$G:$G,1,FALSE),"")</x:f>
      </x:c>
      <x:c r="G170" s="21" t="str">
        <x:f>_xlfn.IFNA(VLOOKUP(_xlfn.CONCAT("T",G$1,"V",$D170,"A",$A170),Vulnerabilities!$G:$G,1,FALSE),"")</x:f>
      </x:c>
      <x:c r="H170" s="21" t="str">
        <x:f>_xlfn.IFNA(VLOOKUP(_xlfn.CONCAT("T",H$1,"V",$D170,"A",$A170),Vulnerabilities!$G:$G,1,FALSE),"")</x:f>
      </x:c>
      <x:c r="I170" s="21" t="str">
        <x:f>_xlfn.IFNA(VLOOKUP(_xlfn.CONCAT("T",I$1,"V",$D170,"A",$A170),Vulnerabilities!$G:$G,1,FALSE),"")</x:f>
      </x:c>
      <x:c r="J170" s="21" t="str">
        <x:f>_xlfn.IFNA(VLOOKUP(_xlfn.CONCAT("T",J$1,"V",$D170,"A",$A170),Vulnerabilities!$G:$G,1,FALSE),"")</x:f>
      </x:c>
      <x:c r="K170" s="21" t="str">
        <x:f>_xlfn.IFNA(VLOOKUP(_xlfn.CONCAT("T",K$1,"V",$D170,"A",$A170),Vulnerabilities!$G:$G,1,FALSE),"")</x:f>
      </x:c>
      <x:c r="L170" s="21" t="str">
        <x:f>_xlfn.IFNA(VLOOKUP(_xlfn.CONCAT("T",L$1,"V",$D170,"A",$A170),Vulnerabilities!$G:$G,1,FALSE),"")</x:f>
      </x:c>
      <x:c r="M170" s="21" t="str">
        <x:f>_xlfn.IFNA(VLOOKUP(_xlfn.CONCAT("T",M$1,"V",$D170,"A",$A170),Vulnerabilities!$G:$G,1,FALSE),"")</x:f>
      </x:c>
      <x:c r="N170" s="21" t="str">
        <x:f>_xlfn.IFNA(VLOOKUP(_xlfn.CONCAT("T",N$1,"V",$D170,"A",$A170),Vulnerabilities!$G:$G,1,FALSE),"")</x:f>
      </x:c>
      <x:c r="O170" s="21" t="str">
        <x:f>_xlfn.IFNA(VLOOKUP(_xlfn.CONCAT("T",O$1,"V",$D170,"A",$A170),Vulnerabilities!$G:$G,1,FALSE),"")</x:f>
      </x:c>
      <x:c r="P170" s="17" t="str">
        <x:f>_xlfn.IFNA(VLOOKUP(_xlfn.CONCAT("T",P$1,"V",$D170,"A",$A170),Vulnerabilities!$G:$G,1,FALSE),"")</x:f>
      </x:c>
    </x:row>
    <x:row r="171">
      <x:c r="A171" s="1">
        <x:f t="shared" si="3"/>
        <x:v>43</x:v>
      </x:c>
      <x:c r="B171" t="str">
        <x:f>IF(VLOOKUP($A171,Assets!$A:$C,2,FALSE)=0,"",VLOOKUP($A171,Assets!$A:$C,2,FALSE))</x:f>
      </x:c>
      <x:c r="C171" t="str">
        <x:f>IF(VLOOKUP($A171,Assets!$A:$C,3,FALSE)=0,"",VLOOKUP($A171,Assets!$A:$C,3,FALSE))</x:f>
      </x:c>
      <x:c r="D171" s="16">
        <x:v>1</x:v>
      </x:c>
      <x:c r="E171" s="20" t="str">
        <x:f>_xlfn.IFNA(VLOOKUP(_xlfn.CONCAT("T",E$1,"V",$D171,"A",$A171),Vulnerabilities!$G:$G,1,FALSE),"")</x:f>
      </x:c>
      <x:c r="F171" s="20" t="str">
        <x:f>_xlfn.IFNA(VLOOKUP(_xlfn.CONCAT("T",F$1,"V",$D171,"A",$A171),Vulnerabilities!$G:$G,1,FALSE),"")</x:f>
      </x:c>
      <x:c r="G171" s="20" t="str">
        <x:f>_xlfn.IFNA(VLOOKUP(_xlfn.CONCAT("T",G$1,"V",$D171,"A",$A171),Vulnerabilities!$G:$G,1,FALSE),"")</x:f>
      </x:c>
      <x:c r="H171" s="20" t="str">
        <x:f>_xlfn.IFNA(VLOOKUP(_xlfn.CONCAT("T",H$1,"V",$D171,"A",$A171),Vulnerabilities!$G:$G,1,FALSE),"")</x:f>
      </x:c>
      <x:c r="I171" s="20" t="str">
        <x:f>_xlfn.IFNA(VLOOKUP(_xlfn.CONCAT("T",I$1,"V",$D171,"A",$A171),Vulnerabilities!$G:$G,1,FALSE),"")</x:f>
      </x:c>
      <x:c r="J171" s="20" t="str">
        <x:f>_xlfn.IFNA(VLOOKUP(_xlfn.CONCAT("T",J$1,"V",$D171,"A",$A171),Vulnerabilities!$G:$G,1,FALSE),"")</x:f>
      </x:c>
      <x:c r="K171" s="20" t="str">
        <x:f>_xlfn.IFNA(VLOOKUP(_xlfn.CONCAT("T",K$1,"V",$D171,"A",$A171),Vulnerabilities!$G:$G,1,FALSE),"")</x:f>
      </x:c>
      <x:c r="L171" s="20" t="str">
        <x:f>_xlfn.IFNA(VLOOKUP(_xlfn.CONCAT("T",L$1,"V",$D171,"A",$A171),Vulnerabilities!$G:$G,1,FALSE),"")</x:f>
      </x:c>
      <x:c r="M171" s="20" t="str">
        <x:f>_xlfn.IFNA(VLOOKUP(_xlfn.CONCAT("T",M$1,"V",$D171,"A",$A171),Vulnerabilities!$G:$G,1,FALSE),"")</x:f>
      </x:c>
      <x:c r="N171" s="20" t="str">
        <x:f>_xlfn.IFNA(VLOOKUP(_xlfn.CONCAT("T",N$1,"V",$D171,"A",$A171),Vulnerabilities!$G:$G,1,FALSE),"")</x:f>
      </x:c>
      <x:c r="O171" s="20" t="str">
        <x:f>_xlfn.IFNA(VLOOKUP(_xlfn.CONCAT("T",O$1,"V",$D171,"A",$A171),Vulnerabilities!$G:$G,1,FALSE),"")</x:f>
      </x:c>
      <x:c r="P171" s="16" t="str">
        <x:f>_xlfn.IFNA(VLOOKUP(_xlfn.CONCAT("T",P$1,"V",$D171,"A",$A171),Vulnerabilities!$G:$G,1,FALSE),"")</x:f>
      </x:c>
    </x:row>
    <x:row r="172">
      <x:c r="A172" s="1">
        <x:f t="shared" si="3"/>
        <x:v>43</x:v>
      </x:c>
      <x:c r="B172" t="str">
        <x:f>IF(VLOOKUP($A172,Assets!$A:$C,2,FALSE)=0,"",VLOOKUP($A172,Assets!$A:$C,2,FALSE))</x:f>
      </x:c>
      <x:c r="C172" t="str">
        <x:f>IF(VLOOKUP($A172,Assets!$A:$C,3,FALSE)=0,"",VLOOKUP($A172,Assets!$A:$C,3,FALSE))</x:f>
      </x:c>
      <x:c r="D172" s="16">
        <x:v>2</x:v>
      </x:c>
      <x:c r="E172" s="20" t="str">
        <x:f>_xlfn.IFNA(VLOOKUP(_xlfn.CONCAT("T",E$1,"V",$D172,"A",$A172),Vulnerabilities!$G:$G,1,FALSE),"")</x:f>
      </x:c>
      <x:c r="F172" s="20" t="str">
        <x:f>_xlfn.IFNA(VLOOKUP(_xlfn.CONCAT("T",F$1,"V",$D172,"A",$A172),Vulnerabilities!$G:$G,1,FALSE),"")</x:f>
      </x:c>
      <x:c r="G172" s="20" t="str">
        <x:f>_xlfn.IFNA(VLOOKUP(_xlfn.CONCAT("T",G$1,"V",$D172,"A",$A172),Vulnerabilities!$G:$G,1,FALSE),"")</x:f>
      </x:c>
      <x:c r="H172" s="20" t="str">
        <x:f>_xlfn.IFNA(VLOOKUP(_xlfn.CONCAT("T",H$1,"V",$D172,"A",$A172),Vulnerabilities!$G:$G,1,FALSE),"")</x:f>
      </x:c>
      <x:c r="I172" s="20" t="str">
        <x:f>_xlfn.IFNA(VLOOKUP(_xlfn.CONCAT("T",I$1,"V",$D172,"A",$A172),Vulnerabilities!$G:$G,1,FALSE),"")</x:f>
      </x:c>
      <x:c r="J172" s="20" t="str">
        <x:f>_xlfn.IFNA(VLOOKUP(_xlfn.CONCAT("T",J$1,"V",$D172,"A",$A172),Vulnerabilities!$G:$G,1,FALSE),"")</x:f>
      </x:c>
      <x:c r="K172" s="20" t="str">
        <x:f>_xlfn.IFNA(VLOOKUP(_xlfn.CONCAT("T",K$1,"V",$D172,"A",$A172),Vulnerabilities!$G:$G,1,FALSE),"")</x:f>
      </x:c>
      <x:c r="L172" s="20" t="str">
        <x:f>_xlfn.IFNA(VLOOKUP(_xlfn.CONCAT("T",L$1,"V",$D172,"A",$A172),Vulnerabilities!$G:$G,1,FALSE),"")</x:f>
      </x:c>
      <x:c r="M172" s="20" t="str">
        <x:f>_xlfn.IFNA(VLOOKUP(_xlfn.CONCAT("T",M$1,"V",$D172,"A",$A172),Vulnerabilities!$G:$G,1,FALSE),"")</x:f>
      </x:c>
      <x:c r="N172" s="20" t="str">
        <x:f>_xlfn.IFNA(VLOOKUP(_xlfn.CONCAT("T",N$1,"V",$D172,"A",$A172),Vulnerabilities!$G:$G,1,FALSE),"")</x:f>
      </x:c>
      <x:c r="O172" s="20" t="str">
        <x:f>_xlfn.IFNA(VLOOKUP(_xlfn.CONCAT("T",O$1,"V",$D172,"A",$A172),Vulnerabilities!$G:$G,1,FALSE),"")</x:f>
      </x:c>
      <x:c r="P172" s="16" t="str">
        <x:f>_xlfn.IFNA(VLOOKUP(_xlfn.CONCAT("T",P$1,"V",$D172,"A",$A172),Vulnerabilities!$G:$G,1,FALSE),"")</x:f>
      </x:c>
    </x:row>
    <x:row r="173">
      <x:c r="A173" s="1">
        <x:f t="shared" si="3"/>
        <x:v>43</x:v>
      </x:c>
      <x:c r="B173" t="str">
        <x:f>IF(VLOOKUP($A173,Assets!$A:$C,2,FALSE)=0,"",VLOOKUP($A173,Assets!$A:$C,2,FALSE))</x:f>
      </x:c>
      <x:c r="C173" t="str">
        <x:f>IF(VLOOKUP($A173,Assets!$A:$C,3,FALSE)=0,"",VLOOKUP($A173,Assets!$A:$C,3,FALSE))</x:f>
      </x:c>
      <x:c r="D173" s="16">
        <x:v>3</x:v>
      </x:c>
      <x:c r="E173" s="20" t="str">
        <x:f>_xlfn.IFNA(VLOOKUP(_xlfn.CONCAT("T",E$1,"V",$D173,"A",$A173),Vulnerabilities!$G:$G,1,FALSE),"")</x:f>
      </x:c>
      <x:c r="F173" s="20" t="str">
        <x:f>_xlfn.IFNA(VLOOKUP(_xlfn.CONCAT("T",F$1,"V",$D173,"A",$A173),Vulnerabilities!$G:$G,1,FALSE),"")</x:f>
      </x:c>
      <x:c r="G173" s="20" t="str">
        <x:f>_xlfn.IFNA(VLOOKUP(_xlfn.CONCAT("T",G$1,"V",$D173,"A",$A173),Vulnerabilities!$G:$G,1,FALSE),"")</x:f>
      </x:c>
      <x:c r="H173" s="20" t="str">
        <x:f>_xlfn.IFNA(VLOOKUP(_xlfn.CONCAT("T",H$1,"V",$D173,"A",$A173),Vulnerabilities!$G:$G,1,FALSE),"")</x:f>
      </x:c>
      <x:c r="I173" s="20" t="str">
        <x:f>_xlfn.IFNA(VLOOKUP(_xlfn.CONCAT("T",I$1,"V",$D173,"A",$A173),Vulnerabilities!$G:$G,1,FALSE),"")</x:f>
      </x:c>
      <x:c r="J173" s="20" t="str">
        <x:f>_xlfn.IFNA(VLOOKUP(_xlfn.CONCAT("T",J$1,"V",$D173,"A",$A173),Vulnerabilities!$G:$G,1,FALSE),"")</x:f>
      </x:c>
      <x:c r="K173" s="20" t="str">
        <x:f>_xlfn.IFNA(VLOOKUP(_xlfn.CONCAT("T",K$1,"V",$D173,"A",$A173),Vulnerabilities!$G:$G,1,FALSE),"")</x:f>
      </x:c>
      <x:c r="L173" s="20" t="str">
        <x:f>_xlfn.IFNA(VLOOKUP(_xlfn.CONCAT("T",L$1,"V",$D173,"A",$A173),Vulnerabilities!$G:$G,1,FALSE),"")</x:f>
      </x:c>
      <x:c r="M173" s="20" t="str">
        <x:f>_xlfn.IFNA(VLOOKUP(_xlfn.CONCAT("T",M$1,"V",$D173,"A",$A173),Vulnerabilities!$G:$G,1,FALSE),"")</x:f>
      </x:c>
      <x:c r="N173" s="20" t="str">
        <x:f>_xlfn.IFNA(VLOOKUP(_xlfn.CONCAT("T",N$1,"V",$D173,"A",$A173),Vulnerabilities!$G:$G,1,FALSE),"")</x:f>
      </x:c>
      <x:c r="O173" s="20" t="str">
        <x:f>_xlfn.IFNA(VLOOKUP(_xlfn.CONCAT("T",O$1,"V",$D173,"A",$A173),Vulnerabilities!$G:$G,1,FALSE),"")</x:f>
      </x:c>
      <x:c r="P173" s="16" t="str">
        <x:f>_xlfn.IFNA(VLOOKUP(_xlfn.CONCAT("T",P$1,"V",$D173,"A",$A173),Vulnerabilities!$G:$G,1,FALSE),"")</x:f>
      </x:c>
    </x:row>
    <x:row r="174">
      <x:c r="A174" s="11">
        <x:f t="shared" si="3"/>
        <x:v>43</x:v>
      </x:c>
      <x:c r="B174" s="12" t="str">
        <x:f>IF(VLOOKUP($A174,Assets!$A:$C,2,FALSE)=0,"",VLOOKUP($A174,Assets!$A:$C,2,FALSE))</x:f>
      </x:c>
      <x:c r="C174" s="12" t="str">
        <x:f>IF(VLOOKUP($A174,Assets!$A:$C,3,FALSE)=0,"",VLOOKUP($A174,Assets!$A:$C,3,FALSE))</x:f>
      </x:c>
      <x:c r="D174" s="17">
        <x:v>4</x:v>
      </x:c>
      <x:c r="E174" s="21" t="str">
        <x:f>_xlfn.IFNA(VLOOKUP(_xlfn.CONCAT("T",E$1,"V",$D174,"A",$A174),Vulnerabilities!$G:$G,1,FALSE),"")</x:f>
      </x:c>
      <x:c r="F174" s="21" t="str">
        <x:f>_xlfn.IFNA(VLOOKUP(_xlfn.CONCAT("T",F$1,"V",$D174,"A",$A174),Vulnerabilities!$G:$G,1,FALSE),"")</x:f>
      </x:c>
      <x:c r="G174" s="21" t="str">
        <x:f>_xlfn.IFNA(VLOOKUP(_xlfn.CONCAT("T",G$1,"V",$D174,"A",$A174),Vulnerabilities!$G:$G,1,FALSE),"")</x:f>
      </x:c>
      <x:c r="H174" s="21" t="str">
        <x:f>_xlfn.IFNA(VLOOKUP(_xlfn.CONCAT("T",H$1,"V",$D174,"A",$A174),Vulnerabilities!$G:$G,1,FALSE),"")</x:f>
      </x:c>
      <x:c r="I174" s="21" t="str">
        <x:f>_xlfn.IFNA(VLOOKUP(_xlfn.CONCAT("T",I$1,"V",$D174,"A",$A174),Vulnerabilities!$G:$G,1,FALSE),"")</x:f>
      </x:c>
      <x:c r="J174" s="21" t="str">
        <x:f>_xlfn.IFNA(VLOOKUP(_xlfn.CONCAT("T",J$1,"V",$D174,"A",$A174),Vulnerabilities!$G:$G,1,FALSE),"")</x:f>
      </x:c>
      <x:c r="K174" s="21" t="str">
        <x:f>_xlfn.IFNA(VLOOKUP(_xlfn.CONCAT("T",K$1,"V",$D174,"A",$A174),Vulnerabilities!$G:$G,1,FALSE),"")</x:f>
      </x:c>
      <x:c r="L174" s="21" t="str">
        <x:f>_xlfn.IFNA(VLOOKUP(_xlfn.CONCAT("T",L$1,"V",$D174,"A",$A174),Vulnerabilities!$G:$G,1,FALSE),"")</x:f>
      </x:c>
      <x:c r="M174" s="21" t="str">
        <x:f>_xlfn.IFNA(VLOOKUP(_xlfn.CONCAT("T",M$1,"V",$D174,"A",$A174),Vulnerabilities!$G:$G,1,FALSE),"")</x:f>
      </x:c>
      <x:c r="N174" s="21" t="str">
        <x:f>_xlfn.IFNA(VLOOKUP(_xlfn.CONCAT("T",N$1,"V",$D174,"A",$A174),Vulnerabilities!$G:$G,1,FALSE),"")</x:f>
      </x:c>
      <x:c r="O174" s="21" t="str">
        <x:f>_xlfn.IFNA(VLOOKUP(_xlfn.CONCAT("T",O$1,"V",$D174,"A",$A174),Vulnerabilities!$G:$G,1,FALSE),"")</x:f>
      </x:c>
      <x:c r="P174" s="17" t="str">
        <x:f>_xlfn.IFNA(VLOOKUP(_xlfn.CONCAT("T",P$1,"V",$D174,"A",$A174),Vulnerabilities!$G:$G,1,FALSE),"")</x:f>
      </x:c>
    </x:row>
    <x:row r="175">
      <x:c r="A175" s="1">
        <x:f t="shared" si="3"/>
        <x:v>44</x:v>
      </x:c>
      <x:c r="B175" t="str">
        <x:f>IF(VLOOKUP($A175,Assets!$A:$C,2,FALSE)=0,"",VLOOKUP($A175,Assets!$A:$C,2,FALSE))</x:f>
      </x:c>
      <x:c r="C175" t="str">
        <x:f>IF(VLOOKUP($A175,Assets!$A:$C,3,FALSE)=0,"",VLOOKUP($A175,Assets!$A:$C,3,FALSE))</x:f>
      </x:c>
      <x:c r="D175" s="16">
        <x:v>1</x:v>
      </x:c>
      <x:c r="E175" s="20" t="str">
        <x:f>_xlfn.IFNA(VLOOKUP(_xlfn.CONCAT("T",E$1,"V",$D175,"A",$A175),Vulnerabilities!$G:$G,1,FALSE),"")</x:f>
      </x:c>
      <x:c r="F175" s="20" t="str">
        <x:f>_xlfn.IFNA(VLOOKUP(_xlfn.CONCAT("T",F$1,"V",$D175,"A",$A175),Vulnerabilities!$G:$G,1,FALSE),"")</x:f>
      </x:c>
      <x:c r="G175" s="20" t="str">
        <x:f>_xlfn.IFNA(VLOOKUP(_xlfn.CONCAT("T",G$1,"V",$D175,"A",$A175),Vulnerabilities!$G:$G,1,FALSE),"")</x:f>
      </x:c>
      <x:c r="H175" s="20" t="str">
        <x:f>_xlfn.IFNA(VLOOKUP(_xlfn.CONCAT("T",H$1,"V",$D175,"A",$A175),Vulnerabilities!$G:$G,1,FALSE),"")</x:f>
      </x:c>
      <x:c r="I175" s="20" t="str">
        <x:f>_xlfn.IFNA(VLOOKUP(_xlfn.CONCAT("T",I$1,"V",$D175,"A",$A175),Vulnerabilities!$G:$G,1,FALSE),"")</x:f>
      </x:c>
      <x:c r="J175" s="20" t="str">
        <x:f>_xlfn.IFNA(VLOOKUP(_xlfn.CONCAT("T",J$1,"V",$D175,"A",$A175),Vulnerabilities!$G:$G,1,FALSE),"")</x:f>
      </x:c>
      <x:c r="K175" s="20" t="str">
        <x:f>_xlfn.IFNA(VLOOKUP(_xlfn.CONCAT("T",K$1,"V",$D175,"A",$A175),Vulnerabilities!$G:$G,1,FALSE),"")</x:f>
      </x:c>
      <x:c r="L175" s="20" t="str">
        <x:f>_xlfn.IFNA(VLOOKUP(_xlfn.CONCAT("T",L$1,"V",$D175,"A",$A175),Vulnerabilities!$G:$G,1,FALSE),"")</x:f>
      </x:c>
      <x:c r="M175" s="20" t="str">
        <x:f>_xlfn.IFNA(VLOOKUP(_xlfn.CONCAT("T",M$1,"V",$D175,"A",$A175),Vulnerabilities!$G:$G,1,FALSE),"")</x:f>
      </x:c>
      <x:c r="N175" s="20" t="str">
        <x:f>_xlfn.IFNA(VLOOKUP(_xlfn.CONCAT("T",N$1,"V",$D175,"A",$A175),Vulnerabilities!$G:$G,1,FALSE),"")</x:f>
      </x:c>
      <x:c r="O175" s="20" t="str">
        <x:f>_xlfn.IFNA(VLOOKUP(_xlfn.CONCAT("T",O$1,"V",$D175,"A",$A175),Vulnerabilities!$G:$G,1,FALSE),"")</x:f>
      </x:c>
      <x:c r="P175" s="16" t="str">
        <x:f>_xlfn.IFNA(VLOOKUP(_xlfn.CONCAT("T",P$1,"V",$D175,"A",$A175),Vulnerabilities!$G:$G,1,FALSE),"")</x:f>
      </x:c>
    </x:row>
    <x:row r="176">
      <x:c r="A176" s="1">
        <x:f t="shared" si="3"/>
        <x:v>44</x:v>
      </x:c>
      <x:c r="B176" t="str">
        <x:f>IF(VLOOKUP($A176,Assets!$A:$C,2,FALSE)=0,"",VLOOKUP($A176,Assets!$A:$C,2,FALSE))</x:f>
      </x:c>
      <x:c r="C176" t="str">
        <x:f>IF(VLOOKUP($A176,Assets!$A:$C,3,FALSE)=0,"",VLOOKUP($A176,Assets!$A:$C,3,FALSE))</x:f>
      </x:c>
      <x:c r="D176" s="16">
        <x:v>2</x:v>
      </x:c>
      <x:c r="E176" s="20" t="str">
        <x:f>_xlfn.IFNA(VLOOKUP(_xlfn.CONCAT("T",E$1,"V",$D176,"A",$A176),Vulnerabilities!$G:$G,1,FALSE),"")</x:f>
      </x:c>
      <x:c r="F176" s="20" t="str">
        <x:f>_xlfn.IFNA(VLOOKUP(_xlfn.CONCAT("T",F$1,"V",$D176,"A",$A176),Vulnerabilities!$G:$G,1,FALSE),"")</x:f>
      </x:c>
      <x:c r="G176" s="20" t="str">
        <x:f>_xlfn.IFNA(VLOOKUP(_xlfn.CONCAT("T",G$1,"V",$D176,"A",$A176),Vulnerabilities!$G:$G,1,FALSE),"")</x:f>
      </x:c>
      <x:c r="H176" s="20" t="str">
        <x:f>_xlfn.IFNA(VLOOKUP(_xlfn.CONCAT("T",H$1,"V",$D176,"A",$A176),Vulnerabilities!$G:$G,1,FALSE),"")</x:f>
      </x:c>
      <x:c r="I176" s="20" t="str">
        <x:f>_xlfn.IFNA(VLOOKUP(_xlfn.CONCAT("T",I$1,"V",$D176,"A",$A176),Vulnerabilities!$G:$G,1,FALSE),"")</x:f>
      </x:c>
      <x:c r="J176" s="20" t="str">
        <x:f>_xlfn.IFNA(VLOOKUP(_xlfn.CONCAT("T",J$1,"V",$D176,"A",$A176),Vulnerabilities!$G:$G,1,FALSE),"")</x:f>
      </x:c>
      <x:c r="K176" s="20" t="str">
        <x:f>_xlfn.IFNA(VLOOKUP(_xlfn.CONCAT("T",K$1,"V",$D176,"A",$A176),Vulnerabilities!$G:$G,1,FALSE),"")</x:f>
      </x:c>
      <x:c r="L176" s="20" t="str">
        <x:f>_xlfn.IFNA(VLOOKUP(_xlfn.CONCAT("T",L$1,"V",$D176,"A",$A176),Vulnerabilities!$G:$G,1,FALSE),"")</x:f>
      </x:c>
      <x:c r="M176" s="20" t="str">
        <x:f>_xlfn.IFNA(VLOOKUP(_xlfn.CONCAT("T",M$1,"V",$D176,"A",$A176),Vulnerabilities!$G:$G,1,FALSE),"")</x:f>
      </x:c>
      <x:c r="N176" s="20" t="str">
        <x:f>_xlfn.IFNA(VLOOKUP(_xlfn.CONCAT("T",N$1,"V",$D176,"A",$A176),Vulnerabilities!$G:$G,1,FALSE),"")</x:f>
      </x:c>
      <x:c r="O176" s="20" t="str">
        <x:f>_xlfn.IFNA(VLOOKUP(_xlfn.CONCAT("T",O$1,"V",$D176,"A",$A176),Vulnerabilities!$G:$G,1,FALSE),"")</x:f>
      </x:c>
      <x:c r="P176" s="16" t="str">
        <x:f>_xlfn.IFNA(VLOOKUP(_xlfn.CONCAT("T",P$1,"V",$D176,"A",$A176),Vulnerabilities!$G:$G,1,FALSE),"")</x:f>
      </x:c>
    </x:row>
    <x:row r="177">
      <x:c r="A177" s="1">
        <x:f t="shared" si="3"/>
        <x:v>44</x:v>
      </x:c>
      <x:c r="B177" t="str">
        <x:f>IF(VLOOKUP($A177,Assets!$A:$C,2,FALSE)=0,"",VLOOKUP($A177,Assets!$A:$C,2,FALSE))</x:f>
      </x:c>
      <x:c r="C177" t="str">
        <x:f>IF(VLOOKUP($A177,Assets!$A:$C,3,FALSE)=0,"",VLOOKUP($A177,Assets!$A:$C,3,FALSE))</x:f>
      </x:c>
      <x:c r="D177" s="16">
        <x:v>3</x:v>
      </x:c>
      <x:c r="E177" s="20" t="str">
        <x:f>_xlfn.IFNA(VLOOKUP(_xlfn.CONCAT("T",E$1,"V",$D177,"A",$A177),Vulnerabilities!$G:$G,1,FALSE),"")</x:f>
      </x:c>
      <x:c r="F177" s="20" t="str">
        <x:f>_xlfn.IFNA(VLOOKUP(_xlfn.CONCAT("T",F$1,"V",$D177,"A",$A177),Vulnerabilities!$G:$G,1,FALSE),"")</x:f>
      </x:c>
      <x:c r="G177" s="20" t="str">
        <x:f>_xlfn.IFNA(VLOOKUP(_xlfn.CONCAT("T",G$1,"V",$D177,"A",$A177),Vulnerabilities!$G:$G,1,FALSE),"")</x:f>
      </x:c>
      <x:c r="H177" s="20" t="str">
        <x:f>_xlfn.IFNA(VLOOKUP(_xlfn.CONCAT("T",H$1,"V",$D177,"A",$A177),Vulnerabilities!$G:$G,1,FALSE),"")</x:f>
      </x:c>
      <x:c r="I177" s="20" t="str">
        <x:f>_xlfn.IFNA(VLOOKUP(_xlfn.CONCAT("T",I$1,"V",$D177,"A",$A177),Vulnerabilities!$G:$G,1,FALSE),"")</x:f>
      </x:c>
      <x:c r="J177" s="20" t="str">
        <x:f>_xlfn.IFNA(VLOOKUP(_xlfn.CONCAT("T",J$1,"V",$D177,"A",$A177),Vulnerabilities!$G:$G,1,FALSE),"")</x:f>
      </x:c>
      <x:c r="K177" s="20" t="str">
        <x:f>_xlfn.IFNA(VLOOKUP(_xlfn.CONCAT("T",K$1,"V",$D177,"A",$A177),Vulnerabilities!$G:$G,1,FALSE),"")</x:f>
      </x:c>
      <x:c r="L177" s="20" t="str">
        <x:f>_xlfn.IFNA(VLOOKUP(_xlfn.CONCAT("T",L$1,"V",$D177,"A",$A177),Vulnerabilities!$G:$G,1,FALSE),"")</x:f>
      </x:c>
      <x:c r="M177" s="20" t="str">
        <x:f>_xlfn.IFNA(VLOOKUP(_xlfn.CONCAT("T",M$1,"V",$D177,"A",$A177),Vulnerabilities!$G:$G,1,FALSE),"")</x:f>
      </x:c>
      <x:c r="N177" s="20" t="str">
        <x:f>_xlfn.IFNA(VLOOKUP(_xlfn.CONCAT("T",N$1,"V",$D177,"A",$A177),Vulnerabilities!$G:$G,1,FALSE),"")</x:f>
      </x:c>
      <x:c r="O177" s="20" t="str">
        <x:f>_xlfn.IFNA(VLOOKUP(_xlfn.CONCAT("T",O$1,"V",$D177,"A",$A177),Vulnerabilities!$G:$G,1,FALSE),"")</x:f>
      </x:c>
      <x:c r="P177" s="16" t="str">
        <x:f>_xlfn.IFNA(VLOOKUP(_xlfn.CONCAT("T",P$1,"V",$D177,"A",$A177),Vulnerabilities!$G:$G,1,FALSE),"")</x:f>
      </x:c>
    </x:row>
    <x:row r="178">
      <x:c r="A178" s="11">
        <x:f t="shared" si="3"/>
        <x:v>44</x:v>
      </x:c>
      <x:c r="B178" s="12" t="str">
        <x:f>IF(VLOOKUP($A178,Assets!$A:$C,2,FALSE)=0,"",VLOOKUP($A178,Assets!$A:$C,2,FALSE))</x:f>
      </x:c>
      <x:c r="C178" s="12" t="str">
        <x:f>IF(VLOOKUP($A178,Assets!$A:$C,3,FALSE)=0,"",VLOOKUP($A178,Assets!$A:$C,3,FALSE))</x:f>
      </x:c>
      <x:c r="D178" s="17">
        <x:v>4</x:v>
      </x:c>
      <x:c r="E178" s="21" t="str">
        <x:f>_xlfn.IFNA(VLOOKUP(_xlfn.CONCAT("T",E$1,"V",$D178,"A",$A178),Vulnerabilities!$G:$G,1,FALSE),"")</x:f>
      </x:c>
      <x:c r="F178" s="21" t="str">
        <x:f>_xlfn.IFNA(VLOOKUP(_xlfn.CONCAT("T",F$1,"V",$D178,"A",$A178),Vulnerabilities!$G:$G,1,FALSE),"")</x:f>
      </x:c>
      <x:c r="G178" s="21" t="str">
        <x:f>_xlfn.IFNA(VLOOKUP(_xlfn.CONCAT("T",G$1,"V",$D178,"A",$A178),Vulnerabilities!$G:$G,1,FALSE),"")</x:f>
      </x:c>
      <x:c r="H178" s="21" t="str">
        <x:f>_xlfn.IFNA(VLOOKUP(_xlfn.CONCAT("T",H$1,"V",$D178,"A",$A178),Vulnerabilities!$G:$G,1,FALSE),"")</x:f>
      </x:c>
      <x:c r="I178" s="21" t="str">
        <x:f>_xlfn.IFNA(VLOOKUP(_xlfn.CONCAT("T",I$1,"V",$D178,"A",$A178),Vulnerabilities!$G:$G,1,FALSE),"")</x:f>
      </x:c>
      <x:c r="J178" s="21" t="str">
        <x:f>_xlfn.IFNA(VLOOKUP(_xlfn.CONCAT("T",J$1,"V",$D178,"A",$A178),Vulnerabilities!$G:$G,1,FALSE),"")</x:f>
      </x:c>
      <x:c r="K178" s="21" t="str">
        <x:f>_xlfn.IFNA(VLOOKUP(_xlfn.CONCAT("T",K$1,"V",$D178,"A",$A178),Vulnerabilities!$G:$G,1,FALSE),"")</x:f>
      </x:c>
      <x:c r="L178" s="21" t="str">
        <x:f>_xlfn.IFNA(VLOOKUP(_xlfn.CONCAT("T",L$1,"V",$D178,"A",$A178),Vulnerabilities!$G:$G,1,FALSE),"")</x:f>
      </x:c>
      <x:c r="M178" s="21" t="str">
        <x:f>_xlfn.IFNA(VLOOKUP(_xlfn.CONCAT("T",M$1,"V",$D178,"A",$A178),Vulnerabilities!$G:$G,1,FALSE),"")</x:f>
      </x:c>
      <x:c r="N178" s="21" t="str">
        <x:f>_xlfn.IFNA(VLOOKUP(_xlfn.CONCAT("T",N$1,"V",$D178,"A",$A178),Vulnerabilities!$G:$G,1,FALSE),"")</x:f>
      </x:c>
      <x:c r="O178" s="21" t="str">
        <x:f>_xlfn.IFNA(VLOOKUP(_xlfn.CONCAT("T",O$1,"V",$D178,"A",$A178),Vulnerabilities!$G:$G,1,FALSE),"")</x:f>
      </x:c>
      <x:c r="P178" s="17" t="str">
        <x:f>_xlfn.IFNA(VLOOKUP(_xlfn.CONCAT("T",P$1,"V",$D178,"A",$A178),Vulnerabilities!$G:$G,1,FALSE),"")</x:f>
      </x:c>
    </x:row>
    <x:row r="179">
      <x:c r="A179" s="1">
        <x:f t="shared" si="3"/>
        <x:v>45</x:v>
      </x:c>
      <x:c r="B179" t="str">
        <x:f>IF(VLOOKUP($A179,Assets!$A:$C,2,FALSE)=0,"",VLOOKUP($A179,Assets!$A:$C,2,FALSE))</x:f>
      </x:c>
      <x:c r="C179" t="str">
        <x:f>IF(VLOOKUP($A179,Assets!$A:$C,3,FALSE)=0,"",VLOOKUP($A179,Assets!$A:$C,3,FALSE))</x:f>
      </x:c>
      <x:c r="D179" s="16">
        <x:v>1</x:v>
      </x:c>
      <x:c r="E179" s="20" t="str">
        <x:f>_xlfn.IFNA(VLOOKUP(_xlfn.CONCAT("T",E$1,"V",$D179,"A",$A179),Vulnerabilities!$G:$G,1,FALSE),"")</x:f>
      </x:c>
      <x:c r="F179" s="20" t="str">
        <x:f>_xlfn.IFNA(VLOOKUP(_xlfn.CONCAT("T",F$1,"V",$D179,"A",$A179),Vulnerabilities!$G:$G,1,FALSE),"")</x:f>
      </x:c>
      <x:c r="G179" s="20" t="str">
        <x:f>_xlfn.IFNA(VLOOKUP(_xlfn.CONCAT("T",G$1,"V",$D179,"A",$A179),Vulnerabilities!$G:$G,1,FALSE),"")</x:f>
      </x:c>
      <x:c r="H179" s="20" t="str">
        <x:f>_xlfn.IFNA(VLOOKUP(_xlfn.CONCAT("T",H$1,"V",$D179,"A",$A179),Vulnerabilities!$G:$G,1,FALSE),"")</x:f>
      </x:c>
      <x:c r="I179" s="20" t="str">
        <x:f>_xlfn.IFNA(VLOOKUP(_xlfn.CONCAT("T",I$1,"V",$D179,"A",$A179),Vulnerabilities!$G:$G,1,FALSE),"")</x:f>
      </x:c>
      <x:c r="J179" s="20" t="str">
        <x:f>_xlfn.IFNA(VLOOKUP(_xlfn.CONCAT("T",J$1,"V",$D179,"A",$A179),Vulnerabilities!$G:$G,1,FALSE),"")</x:f>
      </x:c>
      <x:c r="K179" s="20" t="str">
        <x:f>_xlfn.IFNA(VLOOKUP(_xlfn.CONCAT("T",K$1,"V",$D179,"A",$A179),Vulnerabilities!$G:$G,1,FALSE),"")</x:f>
      </x:c>
      <x:c r="L179" s="20" t="str">
        <x:f>_xlfn.IFNA(VLOOKUP(_xlfn.CONCAT("T",L$1,"V",$D179,"A",$A179),Vulnerabilities!$G:$G,1,FALSE),"")</x:f>
      </x:c>
      <x:c r="M179" s="20" t="str">
        <x:f>_xlfn.IFNA(VLOOKUP(_xlfn.CONCAT("T",M$1,"V",$D179,"A",$A179),Vulnerabilities!$G:$G,1,FALSE),"")</x:f>
      </x:c>
      <x:c r="N179" s="20" t="str">
        <x:f>_xlfn.IFNA(VLOOKUP(_xlfn.CONCAT("T",N$1,"V",$D179,"A",$A179),Vulnerabilities!$G:$G,1,FALSE),"")</x:f>
      </x:c>
      <x:c r="O179" s="20" t="str">
        <x:f>_xlfn.IFNA(VLOOKUP(_xlfn.CONCAT("T",O$1,"V",$D179,"A",$A179),Vulnerabilities!$G:$G,1,FALSE),"")</x:f>
      </x:c>
      <x:c r="P179" s="16" t="str">
        <x:f>_xlfn.IFNA(VLOOKUP(_xlfn.CONCAT("T",P$1,"V",$D179,"A",$A179),Vulnerabilities!$G:$G,1,FALSE),"")</x:f>
      </x:c>
    </x:row>
    <x:row r="180">
      <x:c r="A180" s="1">
        <x:f t="shared" si="3"/>
        <x:v>45</x:v>
      </x:c>
      <x:c r="B180" t="str">
        <x:f>IF(VLOOKUP($A180,Assets!$A:$C,2,FALSE)=0,"",VLOOKUP($A180,Assets!$A:$C,2,FALSE))</x:f>
      </x:c>
      <x:c r="C180" t="str">
        <x:f>IF(VLOOKUP($A180,Assets!$A:$C,3,FALSE)=0,"",VLOOKUP($A180,Assets!$A:$C,3,FALSE))</x:f>
      </x:c>
      <x:c r="D180" s="16">
        <x:v>2</x:v>
      </x:c>
      <x:c r="E180" s="20" t="str">
        <x:f>_xlfn.IFNA(VLOOKUP(_xlfn.CONCAT("T",E$1,"V",$D180,"A",$A180),Vulnerabilities!$G:$G,1,FALSE),"")</x:f>
      </x:c>
      <x:c r="F180" s="20" t="str">
        <x:f>_xlfn.IFNA(VLOOKUP(_xlfn.CONCAT("T",F$1,"V",$D180,"A",$A180),Vulnerabilities!$G:$G,1,FALSE),"")</x:f>
      </x:c>
      <x:c r="G180" s="20" t="str">
        <x:f>_xlfn.IFNA(VLOOKUP(_xlfn.CONCAT("T",G$1,"V",$D180,"A",$A180),Vulnerabilities!$G:$G,1,FALSE),"")</x:f>
      </x:c>
      <x:c r="H180" s="20" t="str">
        <x:f>_xlfn.IFNA(VLOOKUP(_xlfn.CONCAT("T",H$1,"V",$D180,"A",$A180),Vulnerabilities!$G:$G,1,FALSE),"")</x:f>
      </x:c>
      <x:c r="I180" s="20" t="str">
        <x:f>_xlfn.IFNA(VLOOKUP(_xlfn.CONCAT("T",I$1,"V",$D180,"A",$A180),Vulnerabilities!$G:$G,1,FALSE),"")</x:f>
      </x:c>
      <x:c r="J180" s="20" t="str">
        <x:f>_xlfn.IFNA(VLOOKUP(_xlfn.CONCAT("T",J$1,"V",$D180,"A",$A180),Vulnerabilities!$G:$G,1,FALSE),"")</x:f>
      </x:c>
      <x:c r="K180" s="20" t="str">
        <x:f>_xlfn.IFNA(VLOOKUP(_xlfn.CONCAT("T",K$1,"V",$D180,"A",$A180),Vulnerabilities!$G:$G,1,FALSE),"")</x:f>
      </x:c>
      <x:c r="L180" s="20" t="str">
        <x:f>_xlfn.IFNA(VLOOKUP(_xlfn.CONCAT("T",L$1,"V",$D180,"A",$A180),Vulnerabilities!$G:$G,1,FALSE),"")</x:f>
      </x:c>
      <x:c r="M180" s="20" t="str">
        <x:f>_xlfn.IFNA(VLOOKUP(_xlfn.CONCAT("T",M$1,"V",$D180,"A",$A180),Vulnerabilities!$G:$G,1,FALSE),"")</x:f>
      </x:c>
      <x:c r="N180" s="20" t="str">
        <x:f>_xlfn.IFNA(VLOOKUP(_xlfn.CONCAT("T",N$1,"V",$D180,"A",$A180),Vulnerabilities!$G:$G,1,FALSE),"")</x:f>
      </x:c>
      <x:c r="O180" s="20" t="str">
        <x:f>_xlfn.IFNA(VLOOKUP(_xlfn.CONCAT("T",O$1,"V",$D180,"A",$A180),Vulnerabilities!$G:$G,1,FALSE),"")</x:f>
      </x:c>
      <x:c r="P180" s="16" t="str">
        <x:f>_xlfn.IFNA(VLOOKUP(_xlfn.CONCAT("T",P$1,"V",$D180,"A",$A180),Vulnerabilities!$G:$G,1,FALSE),"")</x:f>
      </x:c>
    </x:row>
    <x:row r="181">
      <x:c r="A181" s="1">
        <x:f t="shared" si="3"/>
        <x:v>45</x:v>
      </x:c>
      <x:c r="B181" t="str">
        <x:f>IF(VLOOKUP($A181,Assets!$A:$C,2,FALSE)=0,"",VLOOKUP($A181,Assets!$A:$C,2,FALSE))</x:f>
      </x:c>
      <x:c r="C181" t="str">
        <x:f>IF(VLOOKUP($A181,Assets!$A:$C,3,FALSE)=0,"",VLOOKUP($A181,Assets!$A:$C,3,FALSE))</x:f>
      </x:c>
      <x:c r="D181" s="16">
        <x:v>3</x:v>
      </x:c>
      <x:c r="E181" s="20" t="str">
        <x:f>_xlfn.IFNA(VLOOKUP(_xlfn.CONCAT("T",E$1,"V",$D181,"A",$A181),Vulnerabilities!$G:$G,1,FALSE),"")</x:f>
      </x:c>
      <x:c r="F181" s="20" t="str">
        <x:f>_xlfn.IFNA(VLOOKUP(_xlfn.CONCAT("T",F$1,"V",$D181,"A",$A181),Vulnerabilities!$G:$G,1,FALSE),"")</x:f>
      </x:c>
      <x:c r="G181" s="20" t="str">
        <x:f>_xlfn.IFNA(VLOOKUP(_xlfn.CONCAT("T",G$1,"V",$D181,"A",$A181),Vulnerabilities!$G:$G,1,FALSE),"")</x:f>
      </x:c>
      <x:c r="H181" s="20" t="str">
        <x:f>_xlfn.IFNA(VLOOKUP(_xlfn.CONCAT("T",H$1,"V",$D181,"A",$A181),Vulnerabilities!$G:$G,1,FALSE),"")</x:f>
      </x:c>
      <x:c r="I181" s="20" t="str">
        <x:f>_xlfn.IFNA(VLOOKUP(_xlfn.CONCAT("T",I$1,"V",$D181,"A",$A181),Vulnerabilities!$G:$G,1,FALSE),"")</x:f>
      </x:c>
      <x:c r="J181" s="20" t="str">
        <x:f>_xlfn.IFNA(VLOOKUP(_xlfn.CONCAT("T",J$1,"V",$D181,"A",$A181),Vulnerabilities!$G:$G,1,FALSE),"")</x:f>
      </x:c>
      <x:c r="K181" s="20" t="str">
        <x:f>_xlfn.IFNA(VLOOKUP(_xlfn.CONCAT("T",K$1,"V",$D181,"A",$A181),Vulnerabilities!$G:$G,1,FALSE),"")</x:f>
      </x:c>
      <x:c r="L181" s="20" t="str">
        <x:f>_xlfn.IFNA(VLOOKUP(_xlfn.CONCAT("T",L$1,"V",$D181,"A",$A181),Vulnerabilities!$G:$G,1,FALSE),"")</x:f>
      </x:c>
      <x:c r="M181" s="20" t="str">
        <x:f>_xlfn.IFNA(VLOOKUP(_xlfn.CONCAT("T",M$1,"V",$D181,"A",$A181),Vulnerabilities!$G:$G,1,FALSE),"")</x:f>
      </x:c>
      <x:c r="N181" s="20" t="str">
        <x:f>_xlfn.IFNA(VLOOKUP(_xlfn.CONCAT("T",N$1,"V",$D181,"A",$A181),Vulnerabilities!$G:$G,1,FALSE),"")</x:f>
      </x:c>
      <x:c r="O181" s="20" t="str">
        <x:f>_xlfn.IFNA(VLOOKUP(_xlfn.CONCAT("T",O$1,"V",$D181,"A",$A181),Vulnerabilities!$G:$G,1,FALSE),"")</x:f>
      </x:c>
      <x:c r="P181" s="16" t="str">
        <x:f>_xlfn.IFNA(VLOOKUP(_xlfn.CONCAT("T",P$1,"V",$D181,"A",$A181),Vulnerabilities!$G:$G,1,FALSE),"")</x:f>
      </x:c>
    </x:row>
    <x:row r="182">
      <x:c r="A182" s="11">
        <x:f t="shared" si="3"/>
        <x:v>45</x:v>
      </x:c>
      <x:c r="B182" s="12" t="str">
        <x:f>IF(VLOOKUP($A182,Assets!$A:$C,2,FALSE)=0,"",VLOOKUP($A182,Assets!$A:$C,2,FALSE))</x:f>
      </x:c>
      <x:c r="C182" s="12" t="str">
        <x:f>IF(VLOOKUP($A182,Assets!$A:$C,3,FALSE)=0,"",VLOOKUP($A182,Assets!$A:$C,3,FALSE))</x:f>
      </x:c>
      <x:c r="D182" s="17">
        <x:v>4</x:v>
      </x:c>
      <x:c r="E182" s="21" t="str">
        <x:f>_xlfn.IFNA(VLOOKUP(_xlfn.CONCAT("T",E$1,"V",$D182,"A",$A182),Vulnerabilities!$G:$G,1,FALSE),"")</x:f>
      </x:c>
      <x:c r="F182" s="21" t="str">
        <x:f>_xlfn.IFNA(VLOOKUP(_xlfn.CONCAT("T",F$1,"V",$D182,"A",$A182),Vulnerabilities!$G:$G,1,FALSE),"")</x:f>
      </x:c>
      <x:c r="G182" s="21" t="str">
        <x:f>_xlfn.IFNA(VLOOKUP(_xlfn.CONCAT("T",G$1,"V",$D182,"A",$A182),Vulnerabilities!$G:$G,1,FALSE),"")</x:f>
      </x:c>
      <x:c r="H182" s="21" t="str">
        <x:f>_xlfn.IFNA(VLOOKUP(_xlfn.CONCAT("T",H$1,"V",$D182,"A",$A182),Vulnerabilities!$G:$G,1,FALSE),"")</x:f>
      </x:c>
      <x:c r="I182" s="21" t="str">
        <x:f>_xlfn.IFNA(VLOOKUP(_xlfn.CONCAT("T",I$1,"V",$D182,"A",$A182),Vulnerabilities!$G:$G,1,FALSE),"")</x:f>
      </x:c>
      <x:c r="J182" s="21" t="str">
        <x:f>_xlfn.IFNA(VLOOKUP(_xlfn.CONCAT("T",J$1,"V",$D182,"A",$A182),Vulnerabilities!$G:$G,1,FALSE),"")</x:f>
      </x:c>
      <x:c r="K182" s="21" t="str">
        <x:f>_xlfn.IFNA(VLOOKUP(_xlfn.CONCAT("T",K$1,"V",$D182,"A",$A182),Vulnerabilities!$G:$G,1,FALSE),"")</x:f>
      </x:c>
      <x:c r="L182" s="21" t="str">
        <x:f>_xlfn.IFNA(VLOOKUP(_xlfn.CONCAT("T",L$1,"V",$D182,"A",$A182),Vulnerabilities!$G:$G,1,FALSE),"")</x:f>
      </x:c>
      <x:c r="M182" s="21" t="str">
        <x:f>_xlfn.IFNA(VLOOKUP(_xlfn.CONCAT("T",M$1,"V",$D182,"A",$A182),Vulnerabilities!$G:$G,1,FALSE),"")</x:f>
      </x:c>
      <x:c r="N182" s="21" t="str">
        <x:f>_xlfn.IFNA(VLOOKUP(_xlfn.CONCAT("T",N$1,"V",$D182,"A",$A182),Vulnerabilities!$G:$G,1,FALSE),"")</x:f>
      </x:c>
      <x:c r="O182" s="21" t="str">
        <x:f>_xlfn.IFNA(VLOOKUP(_xlfn.CONCAT("T",O$1,"V",$D182,"A",$A182),Vulnerabilities!$G:$G,1,FALSE),"")</x:f>
      </x:c>
      <x:c r="P182" s="17" t="str">
        <x:f>_xlfn.IFNA(VLOOKUP(_xlfn.CONCAT("T",P$1,"V",$D182,"A",$A182),Vulnerabilities!$G:$G,1,FALSE),"")</x:f>
      </x:c>
    </x:row>
    <x:row r="183">
      <x:c r="A183" s="1">
        <x:f t="shared" si="3"/>
        <x:v>46</x:v>
      </x:c>
      <x:c r="B183" t="str">
        <x:f>IF(VLOOKUP($A183,Assets!$A:$C,2,FALSE)=0,"",VLOOKUP($A183,Assets!$A:$C,2,FALSE))</x:f>
      </x:c>
      <x:c r="C183" t="str">
        <x:f>IF(VLOOKUP($A183,Assets!$A:$C,3,FALSE)=0,"",VLOOKUP($A183,Assets!$A:$C,3,FALSE))</x:f>
      </x:c>
      <x:c r="D183" s="16">
        <x:v>1</x:v>
      </x:c>
      <x:c r="E183" s="20" t="str">
        <x:f>_xlfn.IFNA(VLOOKUP(_xlfn.CONCAT("T",E$1,"V",$D183,"A",$A183),Vulnerabilities!$G:$G,1,FALSE),"")</x:f>
      </x:c>
      <x:c r="F183" s="20" t="str">
        <x:f>_xlfn.IFNA(VLOOKUP(_xlfn.CONCAT("T",F$1,"V",$D183,"A",$A183),Vulnerabilities!$G:$G,1,FALSE),"")</x:f>
      </x:c>
      <x:c r="G183" s="20" t="str">
        <x:f>_xlfn.IFNA(VLOOKUP(_xlfn.CONCAT("T",G$1,"V",$D183,"A",$A183),Vulnerabilities!$G:$G,1,FALSE),"")</x:f>
      </x:c>
      <x:c r="H183" s="20" t="str">
        <x:f>_xlfn.IFNA(VLOOKUP(_xlfn.CONCAT("T",H$1,"V",$D183,"A",$A183),Vulnerabilities!$G:$G,1,FALSE),"")</x:f>
      </x:c>
      <x:c r="I183" s="20" t="str">
        <x:f>_xlfn.IFNA(VLOOKUP(_xlfn.CONCAT("T",I$1,"V",$D183,"A",$A183),Vulnerabilities!$G:$G,1,FALSE),"")</x:f>
      </x:c>
      <x:c r="J183" s="20" t="str">
        <x:f>_xlfn.IFNA(VLOOKUP(_xlfn.CONCAT("T",J$1,"V",$D183,"A",$A183),Vulnerabilities!$G:$G,1,FALSE),"")</x:f>
      </x:c>
      <x:c r="K183" s="20" t="str">
        <x:f>_xlfn.IFNA(VLOOKUP(_xlfn.CONCAT("T",K$1,"V",$D183,"A",$A183),Vulnerabilities!$G:$G,1,FALSE),"")</x:f>
      </x:c>
      <x:c r="L183" s="20" t="str">
        <x:f>_xlfn.IFNA(VLOOKUP(_xlfn.CONCAT("T",L$1,"V",$D183,"A",$A183),Vulnerabilities!$G:$G,1,FALSE),"")</x:f>
      </x:c>
      <x:c r="M183" s="20" t="str">
        <x:f>_xlfn.IFNA(VLOOKUP(_xlfn.CONCAT("T",M$1,"V",$D183,"A",$A183),Vulnerabilities!$G:$G,1,FALSE),"")</x:f>
      </x:c>
      <x:c r="N183" s="20" t="str">
        <x:f>_xlfn.IFNA(VLOOKUP(_xlfn.CONCAT("T",N$1,"V",$D183,"A",$A183),Vulnerabilities!$G:$G,1,FALSE),"")</x:f>
      </x:c>
      <x:c r="O183" s="20" t="str">
        <x:f>_xlfn.IFNA(VLOOKUP(_xlfn.CONCAT("T",O$1,"V",$D183,"A",$A183),Vulnerabilities!$G:$G,1,FALSE),"")</x:f>
      </x:c>
      <x:c r="P183" s="16" t="str">
        <x:f>_xlfn.IFNA(VLOOKUP(_xlfn.CONCAT("T",P$1,"V",$D183,"A",$A183),Vulnerabilities!$G:$G,1,FALSE),"")</x:f>
      </x:c>
    </x:row>
    <x:row r="184">
      <x:c r="A184" s="1">
        <x:f t="shared" si="3"/>
        <x:v>46</x:v>
      </x:c>
      <x:c r="B184" t="str">
        <x:f>IF(VLOOKUP($A184,Assets!$A:$C,2,FALSE)=0,"",VLOOKUP($A184,Assets!$A:$C,2,FALSE))</x:f>
      </x:c>
      <x:c r="C184" t="str">
        <x:f>IF(VLOOKUP($A184,Assets!$A:$C,3,FALSE)=0,"",VLOOKUP($A184,Assets!$A:$C,3,FALSE))</x:f>
      </x:c>
      <x:c r="D184" s="16">
        <x:v>2</x:v>
      </x:c>
      <x:c r="E184" s="20" t="str">
        <x:f>_xlfn.IFNA(VLOOKUP(_xlfn.CONCAT("T",E$1,"V",$D184,"A",$A184),Vulnerabilities!$G:$G,1,FALSE),"")</x:f>
      </x:c>
      <x:c r="F184" s="20" t="str">
        <x:f>_xlfn.IFNA(VLOOKUP(_xlfn.CONCAT("T",F$1,"V",$D184,"A",$A184),Vulnerabilities!$G:$G,1,FALSE),"")</x:f>
      </x:c>
      <x:c r="G184" s="20" t="str">
        <x:f>_xlfn.IFNA(VLOOKUP(_xlfn.CONCAT("T",G$1,"V",$D184,"A",$A184),Vulnerabilities!$G:$G,1,FALSE),"")</x:f>
      </x:c>
      <x:c r="H184" s="20" t="str">
        <x:f>_xlfn.IFNA(VLOOKUP(_xlfn.CONCAT("T",H$1,"V",$D184,"A",$A184),Vulnerabilities!$G:$G,1,FALSE),"")</x:f>
      </x:c>
      <x:c r="I184" s="20" t="str">
        <x:f>_xlfn.IFNA(VLOOKUP(_xlfn.CONCAT("T",I$1,"V",$D184,"A",$A184),Vulnerabilities!$G:$G,1,FALSE),"")</x:f>
      </x:c>
      <x:c r="J184" s="20" t="str">
        <x:f>_xlfn.IFNA(VLOOKUP(_xlfn.CONCAT("T",J$1,"V",$D184,"A",$A184),Vulnerabilities!$G:$G,1,FALSE),"")</x:f>
      </x:c>
      <x:c r="K184" s="20" t="str">
        <x:f>_xlfn.IFNA(VLOOKUP(_xlfn.CONCAT("T",K$1,"V",$D184,"A",$A184),Vulnerabilities!$G:$G,1,FALSE),"")</x:f>
      </x:c>
      <x:c r="L184" s="20" t="str">
        <x:f>_xlfn.IFNA(VLOOKUP(_xlfn.CONCAT("T",L$1,"V",$D184,"A",$A184),Vulnerabilities!$G:$G,1,FALSE),"")</x:f>
      </x:c>
      <x:c r="M184" s="20" t="str">
        <x:f>_xlfn.IFNA(VLOOKUP(_xlfn.CONCAT("T",M$1,"V",$D184,"A",$A184),Vulnerabilities!$G:$G,1,FALSE),"")</x:f>
      </x:c>
      <x:c r="N184" s="20" t="str">
        <x:f>_xlfn.IFNA(VLOOKUP(_xlfn.CONCAT("T",N$1,"V",$D184,"A",$A184),Vulnerabilities!$G:$G,1,FALSE),"")</x:f>
      </x:c>
      <x:c r="O184" s="20" t="str">
        <x:f>_xlfn.IFNA(VLOOKUP(_xlfn.CONCAT("T",O$1,"V",$D184,"A",$A184),Vulnerabilities!$G:$G,1,FALSE),"")</x:f>
      </x:c>
      <x:c r="P184" s="16" t="str">
        <x:f>_xlfn.IFNA(VLOOKUP(_xlfn.CONCAT("T",P$1,"V",$D184,"A",$A184),Vulnerabilities!$G:$G,1,FALSE),"")</x:f>
      </x:c>
    </x:row>
    <x:row r="185">
      <x:c r="A185" s="1">
        <x:f t="shared" si="3"/>
        <x:v>46</x:v>
      </x:c>
      <x:c r="B185" t="str">
        <x:f>IF(VLOOKUP($A185,Assets!$A:$C,2,FALSE)=0,"",VLOOKUP($A185,Assets!$A:$C,2,FALSE))</x:f>
      </x:c>
      <x:c r="C185" t="str">
        <x:f>IF(VLOOKUP($A185,Assets!$A:$C,3,FALSE)=0,"",VLOOKUP($A185,Assets!$A:$C,3,FALSE))</x:f>
      </x:c>
      <x:c r="D185" s="16">
        <x:v>3</x:v>
      </x:c>
      <x:c r="E185" s="20" t="str">
        <x:f>_xlfn.IFNA(VLOOKUP(_xlfn.CONCAT("T",E$1,"V",$D185,"A",$A185),Vulnerabilities!$G:$G,1,FALSE),"")</x:f>
      </x:c>
      <x:c r="F185" s="20" t="str">
        <x:f>_xlfn.IFNA(VLOOKUP(_xlfn.CONCAT("T",F$1,"V",$D185,"A",$A185),Vulnerabilities!$G:$G,1,FALSE),"")</x:f>
      </x:c>
      <x:c r="G185" s="20" t="str">
        <x:f>_xlfn.IFNA(VLOOKUP(_xlfn.CONCAT("T",G$1,"V",$D185,"A",$A185),Vulnerabilities!$G:$G,1,FALSE),"")</x:f>
      </x:c>
      <x:c r="H185" s="20" t="str">
        <x:f>_xlfn.IFNA(VLOOKUP(_xlfn.CONCAT("T",H$1,"V",$D185,"A",$A185),Vulnerabilities!$G:$G,1,FALSE),"")</x:f>
      </x:c>
      <x:c r="I185" s="20" t="str">
        <x:f>_xlfn.IFNA(VLOOKUP(_xlfn.CONCAT("T",I$1,"V",$D185,"A",$A185),Vulnerabilities!$G:$G,1,FALSE),"")</x:f>
      </x:c>
      <x:c r="J185" s="20" t="str">
        <x:f>_xlfn.IFNA(VLOOKUP(_xlfn.CONCAT("T",J$1,"V",$D185,"A",$A185),Vulnerabilities!$G:$G,1,FALSE),"")</x:f>
      </x:c>
      <x:c r="K185" s="20" t="str">
        <x:f>_xlfn.IFNA(VLOOKUP(_xlfn.CONCAT("T",K$1,"V",$D185,"A",$A185),Vulnerabilities!$G:$G,1,FALSE),"")</x:f>
      </x:c>
      <x:c r="L185" s="20" t="str">
        <x:f>_xlfn.IFNA(VLOOKUP(_xlfn.CONCAT("T",L$1,"V",$D185,"A",$A185),Vulnerabilities!$G:$G,1,FALSE),"")</x:f>
      </x:c>
      <x:c r="M185" s="20" t="str">
        <x:f>_xlfn.IFNA(VLOOKUP(_xlfn.CONCAT("T",M$1,"V",$D185,"A",$A185),Vulnerabilities!$G:$G,1,FALSE),"")</x:f>
      </x:c>
      <x:c r="N185" s="20" t="str">
        <x:f>_xlfn.IFNA(VLOOKUP(_xlfn.CONCAT("T",N$1,"V",$D185,"A",$A185),Vulnerabilities!$G:$G,1,FALSE),"")</x:f>
      </x:c>
      <x:c r="O185" s="20" t="str">
        <x:f>_xlfn.IFNA(VLOOKUP(_xlfn.CONCAT("T",O$1,"V",$D185,"A",$A185),Vulnerabilities!$G:$G,1,FALSE),"")</x:f>
      </x:c>
      <x:c r="P185" s="16" t="str">
        <x:f>_xlfn.IFNA(VLOOKUP(_xlfn.CONCAT("T",P$1,"V",$D185,"A",$A185),Vulnerabilities!$G:$G,1,FALSE),"")</x:f>
      </x:c>
    </x:row>
    <x:row r="186">
      <x:c r="A186" s="11">
        <x:f t="shared" si="3"/>
        <x:v>46</x:v>
      </x:c>
      <x:c r="B186" s="12" t="str">
        <x:f>IF(VLOOKUP($A186,Assets!$A:$C,2,FALSE)=0,"",VLOOKUP($A186,Assets!$A:$C,2,FALSE))</x:f>
      </x:c>
      <x:c r="C186" s="12" t="str">
        <x:f>IF(VLOOKUP($A186,Assets!$A:$C,3,FALSE)=0,"",VLOOKUP($A186,Assets!$A:$C,3,FALSE))</x:f>
      </x:c>
      <x:c r="D186" s="17">
        <x:v>4</x:v>
      </x:c>
      <x:c r="E186" s="21" t="str">
        <x:f>_xlfn.IFNA(VLOOKUP(_xlfn.CONCAT("T",E$1,"V",$D186,"A",$A186),Vulnerabilities!$G:$G,1,FALSE),"")</x:f>
      </x:c>
      <x:c r="F186" s="21" t="str">
        <x:f>_xlfn.IFNA(VLOOKUP(_xlfn.CONCAT("T",F$1,"V",$D186,"A",$A186),Vulnerabilities!$G:$G,1,FALSE),"")</x:f>
      </x:c>
      <x:c r="G186" s="21" t="str">
        <x:f>_xlfn.IFNA(VLOOKUP(_xlfn.CONCAT("T",G$1,"V",$D186,"A",$A186),Vulnerabilities!$G:$G,1,FALSE),"")</x:f>
      </x:c>
      <x:c r="H186" s="21" t="str">
        <x:f>_xlfn.IFNA(VLOOKUP(_xlfn.CONCAT("T",H$1,"V",$D186,"A",$A186),Vulnerabilities!$G:$G,1,FALSE),"")</x:f>
      </x:c>
      <x:c r="I186" s="21" t="str">
        <x:f>_xlfn.IFNA(VLOOKUP(_xlfn.CONCAT("T",I$1,"V",$D186,"A",$A186),Vulnerabilities!$G:$G,1,FALSE),"")</x:f>
      </x:c>
      <x:c r="J186" s="21" t="str">
        <x:f>_xlfn.IFNA(VLOOKUP(_xlfn.CONCAT("T",J$1,"V",$D186,"A",$A186),Vulnerabilities!$G:$G,1,FALSE),"")</x:f>
      </x:c>
      <x:c r="K186" s="21" t="str">
        <x:f>_xlfn.IFNA(VLOOKUP(_xlfn.CONCAT("T",K$1,"V",$D186,"A",$A186),Vulnerabilities!$G:$G,1,FALSE),"")</x:f>
      </x:c>
      <x:c r="L186" s="21" t="str">
        <x:f>_xlfn.IFNA(VLOOKUP(_xlfn.CONCAT("T",L$1,"V",$D186,"A",$A186),Vulnerabilities!$G:$G,1,FALSE),"")</x:f>
      </x:c>
      <x:c r="M186" s="21" t="str">
        <x:f>_xlfn.IFNA(VLOOKUP(_xlfn.CONCAT("T",M$1,"V",$D186,"A",$A186),Vulnerabilities!$G:$G,1,FALSE),"")</x:f>
      </x:c>
      <x:c r="N186" s="21" t="str">
        <x:f>_xlfn.IFNA(VLOOKUP(_xlfn.CONCAT("T",N$1,"V",$D186,"A",$A186),Vulnerabilities!$G:$G,1,FALSE),"")</x:f>
      </x:c>
      <x:c r="O186" s="21" t="str">
        <x:f>_xlfn.IFNA(VLOOKUP(_xlfn.CONCAT("T",O$1,"V",$D186,"A",$A186),Vulnerabilities!$G:$G,1,FALSE),"")</x:f>
      </x:c>
      <x:c r="P186" s="17" t="str">
        <x:f>_xlfn.IFNA(VLOOKUP(_xlfn.CONCAT("T",P$1,"V",$D186,"A",$A186),Vulnerabilities!$G:$G,1,FALSE),"")</x:f>
      </x:c>
    </x:row>
    <x:row r="187">
      <x:c r="A187" s="1">
        <x:f t="shared" si="3"/>
        <x:v>47</x:v>
      </x:c>
      <x:c r="B187" t="str">
        <x:f>IF(VLOOKUP($A187,Assets!$A:$C,2,FALSE)=0,"",VLOOKUP($A187,Assets!$A:$C,2,FALSE))</x:f>
      </x:c>
      <x:c r="C187" t="str">
        <x:f>IF(VLOOKUP($A187,Assets!$A:$C,3,FALSE)=0,"",VLOOKUP($A187,Assets!$A:$C,3,FALSE))</x:f>
      </x:c>
      <x:c r="D187" s="16">
        <x:v>1</x:v>
      </x:c>
      <x:c r="E187" s="20" t="str">
        <x:f>_xlfn.IFNA(VLOOKUP(_xlfn.CONCAT("T",E$1,"V",$D187,"A",$A187),Vulnerabilities!$G:$G,1,FALSE),"")</x:f>
      </x:c>
      <x:c r="F187" s="20" t="str">
        <x:f>_xlfn.IFNA(VLOOKUP(_xlfn.CONCAT("T",F$1,"V",$D187,"A",$A187),Vulnerabilities!$G:$G,1,FALSE),"")</x:f>
      </x:c>
      <x:c r="G187" s="20" t="str">
        <x:f>_xlfn.IFNA(VLOOKUP(_xlfn.CONCAT("T",G$1,"V",$D187,"A",$A187),Vulnerabilities!$G:$G,1,FALSE),"")</x:f>
      </x:c>
      <x:c r="H187" s="20" t="str">
        <x:f>_xlfn.IFNA(VLOOKUP(_xlfn.CONCAT("T",H$1,"V",$D187,"A",$A187),Vulnerabilities!$G:$G,1,FALSE),"")</x:f>
      </x:c>
      <x:c r="I187" s="20" t="str">
        <x:f>_xlfn.IFNA(VLOOKUP(_xlfn.CONCAT("T",I$1,"V",$D187,"A",$A187),Vulnerabilities!$G:$G,1,FALSE),"")</x:f>
      </x:c>
      <x:c r="J187" s="20" t="str">
        <x:f>_xlfn.IFNA(VLOOKUP(_xlfn.CONCAT("T",J$1,"V",$D187,"A",$A187),Vulnerabilities!$G:$G,1,FALSE),"")</x:f>
      </x:c>
      <x:c r="K187" s="20" t="str">
        <x:f>_xlfn.IFNA(VLOOKUP(_xlfn.CONCAT("T",K$1,"V",$D187,"A",$A187),Vulnerabilities!$G:$G,1,FALSE),"")</x:f>
      </x:c>
      <x:c r="L187" s="20" t="str">
        <x:f>_xlfn.IFNA(VLOOKUP(_xlfn.CONCAT("T",L$1,"V",$D187,"A",$A187),Vulnerabilities!$G:$G,1,FALSE),"")</x:f>
      </x:c>
      <x:c r="M187" s="20" t="str">
        <x:f>_xlfn.IFNA(VLOOKUP(_xlfn.CONCAT("T",M$1,"V",$D187,"A",$A187),Vulnerabilities!$G:$G,1,FALSE),"")</x:f>
      </x:c>
      <x:c r="N187" s="20" t="str">
        <x:f>_xlfn.IFNA(VLOOKUP(_xlfn.CONCAT("T",N$1,"V",$D187,"A",$A187),Vulnerabilities!$G:$G,1,FALSE),"")</x:f>
      </x:c>
      <x:c r="O187" s="20" t="str">
        <x:f>_xlfn.IFNA(VLOOKUP(_xlfn.CONCAT("T",O$1,"V",$D187,"A",$A187),Vulnerabilities!$G:$G,1,FALSE),"")</x:f>
      </x:c>
      <x:c r="P187" s="16" t="str">
        <x:f>_xlfn.IFNA(VLOOKUP(_xlfn.CONCAT("T",P$1,"V",$D187,"A",$A187),Vulnerabilities!$G:$G,1,FALSE),"")</x:f>
      </x:c>
    </x:row>
    <x:row r="188">
      <x:c r="A188" s="1">
        <x:f t="shared" si="3"/>
        <x:v>47</x:v>
      </x:c>
      <x:c r="B188" t="str">
        <x:f>IF(VLOOKUP($A188,Assets!$A:$C,2,FALSE)=0,"",VLOOKUP($A188,Assets!$A:$C,2,FALSE))</x:f>
      </x:c>
      <x:c r="C188" t="str">
        <x:f>IF(VLOOKUP($A188,Assets!$A:$C,3,FALSE)=0,"",VLOOKUP($A188,Assets!$A:$C,3,FALSE))</x:f>
      </x:c>
      <x:c r="D188" s="16">
        <x:v>2</x:v>
      </x:c>
      <x:c r="E188" s="20" t="str">
        <x:f>_xlfn.IFNA(VLOOKUP(_xlfn.CONCAT("T",E$1,"V",$D188,"A",$A188),Vulnerabilities!$G:$G,1,FALSE),"")</x:f>
      </x:c>
      <x:c r="F188" s="20" t="str">
        <x:f>_xlfn.IFNA(VLOOKUP(_xlfn.CONCAT("T",F$1,"V",$D188,"A",$A188),Vulnerabilities!$G:$G,1,FALSE),"")</x:f>
      </x:c>
      <x:c r="G188" s="20" t="str">
        <x:f>_xlfn.IFNA(VLOOKUP(_xlfn.CONCAT("T",G$1,"V",$D188,"A",$A188),Vulnerabilities!$G:$G,1,FALSE),"")</x:f>
      </x:c>
      <x:c r="H188" s="20" t="str">
        <x:f>_xlfn.IFNA(VLOOKUP(_xlfn.CONCAT("T",H$1,"V",$D188,"A",$A188),Vulnerabilities!$G:$G,1,FALSE),"")</x:f>
      </x:c>
      <x:c r="I188" s="20" t="str">
        <x:f>_xlfn.IFNA(VLOOKUP(_xlfn.CONCAT("T",I$1,"V",$D188,"A",$A188),Vulnerabilities!$G:$G,1,FALSE),"")</x:f>
      </x:c>
      <x:c r="J188" s="20" t="str">
        <x:f>_xlfn.IFNA(VLOOKUP(_xlfn.CONCAT("T",J$1,"V",$D188,"A",$A188),Vulnerabilities!$G:$G,1,FALSE),"")</x:f>
      </x:c>
      <x:c r="K188" s="20" t="str">
        <x:f>_xlfn.IFNA(VLOOKUP(_xlfn.CONCAT("T",K$1,"V",$D188,"A",$A188),Vulnerabilities!$G:$G,1,FALSE),"")</x:f>
      </x:c>
      <x:c r="L188" s="20" t="str">
        <x:f>_xlfn.IFNA(VLOOKUP(_xlfn.CONCAT("T",L$1,"V",$D188,"A",$A188),Vulnerabilities!$G:$G,1,FALSE),"")</x:f>
      </x:c>
      <x:c r="M188" s="20" t="str">
        <x:f>_xlfn.IFNA(VLOOKUP(_xlfn.CONCAT("T",M$1,"V",$D188,"A",$A188),Vulnerabilities!$G:$G,1,FALSE),"")</x:f>
      </x:c>
      <x:c r="N188" s="20" t="str">
        <x:f>_xlfn.IFNA(VLOOKUP(_xlfn.CONCAT("T",N$1,"V",$D188,"A",$A188),Vulnerabilities!$G:$G,1,FALSE),"")</x:f>
      </x:c>
      <x:c r="O188" s="20" t="str">
        <x:f>_xlfn.IFNA(VLOOKUP(_xlfn.CONCAT("T",O$1,"V",$D188,"A",$A188),Vulnerabilities!$G:$G,1,FALSE),"")</x:f>
      </x:c>
      <x:c r="P188" s="16" t="str">
        <x:f>_xlfn.IFNA(VLOOKUP(_xlfn.CONCAT("T",P$1,"V",$D188,"A",$A188),Vulnerabilities!$G:$G,1,FALSE),"")</x:f>
      </x:c>
    </x:row>
    <x:row r="189">
      <x:c r="A189" s="1">
        <x:f t="shared" si="3"/>
        <x:v>47</x:v>
      </x:c>
      <x:c r="B189" t="str">
        <x:f>IF(VLOOKUP($A189,Assets!$A:$C,2,FALSE)=0,"",VLOOKUP($A189,Assets!$A:$C,2,FALSE))</x:f>
      </x:c>
      <x:c r="C189" t="str">
        <x:f>IF(VLOOKUP($A189,Assets!$A:$C,3,FALSE)=0,"",VLOOKUP($A189,Assets!$A:$C,3,FALSE))</x:f>
      </x:c>
      <x:c r="D189" s="16">
        <x:v>3</x:v>
      </x:c>
      <x:c r="E189" s="20" t="str">
        <x:f>_xlfn.IFNA(VLOOKUP(_xlfn.CONCAT("T",E$1,"V",$D189,"A",$A189),Vulnerabilities!$G:$G,1,FALSE),"")</x:f>
      </x:c>
      <x:c r="F189" s="20" t="str">
        <x:f>_xlfn.IFNA(VLOOKUP(_xlfn.CONCAT("T",F$1,"V",$D189,"A",$A189),Vulnerabilities!$G:$G,1,FALSE),"")</x:f>
      </x:c>
      <x:c r="G189" s="20" t="str">
        <x:f>_xlfn.IFNA(VLOOKUP(_xlfn.CONCAT("T",G$1,"V",$D189,"A",$A189),Vulnerabilities!$G:$G,1,FALSE),"")</x:f>
      </x:c>
      <x:c r="H189" s="20" t="str">
        <x:f>_xlfn.IFNA(VLOOKUP(_xlfn.CONCAT("T",H$1,"V",$D189,"A",$A189),Vulnerabilities!$G:$G,1,FALSE),"")</x:f>
      </x:c>
      <x:c r="I189" s="20" t="str">
        <x:f>_xlfn.IFNA(VLOOKUP(_xlfn.CONCAT("T",I$1,"V",$D189,"A",$A189),Vulnerabilities!$G:$G,1,FALSE),"")</x:f>
      </x:c>
      <x:c r="J189" s="20" t="str">
        <x:f>_xlfn.IFNA(VLOOKUP(_xlfn.CONCAT("T",J$1,"V",$D189,"A",$A189),Vulnerabilities!$G:$G,1,FALSE),"")</x:f>
      </x:c>
      <x:c r="K189" s="20" t="str">
        <x:f>_xlfn.IFNA(VLOOKUP(_xlfn.CONCAT("T",K$1,"V",$D189,"A",$A189),Vulnerabilities!$G:$G,1,FALSE),"")</x:f>
      </x:c>
      <x:c r="L189" s="20" t="str">
        <x:f>_xlfn.IFNA(VLOOKUP(_xlfn.CONCAT("T",L$1,"V",$D189,"A",$A189),Vulnerabilities!$G:$G,1,FALSE),"")</x:f>
      </x:c>
      <x:c r="M189" s="20" t="str">
        <x:f>_xlfn.IFNA(VLOOKUP(_xlfn.CONCAT("T",M$1,"V",$D189,"A",$A189),Vulnerabilities!$G:$G,1,FALSE),"")</x:f>
      </x:c>
      <x:c r="N189" s="20" t="str">
        <x:f>_xlfn.IFNA(VLOOKUP(_xlfn.CONCAT("T",N$1,"V",$D189,"A",$A189),Vulnerabilities!$G:$G,1,FALSE),"")</x:f>
      </x:c>
      <x:c r="O189" s="20" t="str">
        <x:f>_xlfn.IFNA(VLOOKUP(_xlfn.CONCAT("T",O$1,"V",$D189,"A",$A189),Vulnerabilities!$G:$G,1,FALSE),"")</x:f>
      </x:c>
      <x:c r="P189" s="16" t="str">
        <x:f>_xlfn.IFNA(VLOOKUP(_xlfn.CONCAT("T",P$1,"V",$D189,"A",$A189),Vulnerabilities!$G:$G,1,FALSE),"")</x:f>
      </x:c>
    </x:row>
    <x:row r="190">
      <x:c r="A190" s="11">
        <x:f t="shared" si="3"/>
        <x:v>47</x:v>
      </x:c>
      <x:c r="B190" s="12" t="str">
        <x:f>IF(VLOOKUP($A190,Assets!$A:$C,2,FALSE)=0,"",VLOOKUP($A190,Assets!$A:$C,2,FALSE))</x:f>
      </x:c>
      <x:c r="C190" s="12" t="str">
        <x:f>IF(VLOOKUP($A190,Assets!$A:$C,3,FALSE)=0,"",VLOOKUP($A190,Assets!$A:$C,3,FALSE))</x:f>
      </x:c>
      <x:c r="D190" s="17">
        <x:v>4</x:v>
      </x:c>
      <x:c r="E190" s="21" t="str">
        <x:f>_xlfn.IFNA(VLOOKUP(_xlfn.CONCAT("T",E$1,"V",$D190,"A",$A190),Vulnerabilities!$G:$G,1,FALSE),"")</x:f>
      </x:c>
      <x:c r="F190" s="21" t="str">
        <x:f>_xlfn.IFNA(VLOOKUP(_xlfn.CONCAT("T",F$1,"V",$D190,"A",$A190),Vulnerabilities!$G:$G,1,FALSE),"")</x:f>
      </x:c>
      <x:c r="G190" s="21" t="str">
        <x:f>_xlfn.IFNA(VLOOKUP(_xlfn.CONCAT("T",G$1,"V",$D190,"A",$A190),Vulnerabilities!$G:$G,1,FALSE),"")</x:f>
      </x:c>
      <x:c r="H190" s="21" t="str">
        <x:f>_xlfn.IFNA(VLOOKUP(_xlfn.CONCAT("T",H$1,"V",$D190,"A",$A190),Vulnerabilities!$G:$G,1,FALSE),"")</x:f>
      </x:c>
      <x:c r="I190" s="21" t="str">
        <x:f>_xlfn.IFNA(VLOOKUP(_xlfn.CONCAT("T",I$1,"V",$D190,"A",$A190),Vulnerabilities!$G:$G,1,FALSE),"")</x:f>
      </x:c>
      <x:c r="J190" s="21" t="str">
        <x:f>_xlfn.IFNA(VLOOKUP(_xlfn.CONCAT("T",J$1,"V",$D190,"A",$A190),Vulnerabilities!$G:$G,1,FALSE),"")</x:f>
      </x:c>
      <x:c r="K190" s="21" t="str">
        <x:f>_xlfn.IFNA(VLOOKUP(_xlfn.CONCAT("T",K$1,"V",$D190,"A",$A190),Vulnerabilities!$G:$G,1,FALSE),"")</x:f>
      </x:c>
      <x:c r="L190" s="21" t="str">
        <x:f>_xlfn.IFNA(VLOOKUP(_xlfn.CONCAT("T",L$1,"V",$D190,"A",$A190),Vulnerabilities!$G:$G,1,FALSE),"")</x:f>
      </x:c>
      <x:c r="M190" s="21" t="str">
        <x:f>_xlfn.IFNA(VLOOKUP(_xlfn.CONCAT("T",M$1,"V",$D190,"A",$A190),Vulnerabilities!$G:$G,1,FALSE),"")</x:f>
      </x:c>
      <x:c r="N190" s="21" t="str">
        <x:f>_xlfn.IFNA(VLOOKUP(_xlfn.CONCAT("T",N$1,"V",$D190,"A",$A190),Vulnerabilities!$G:$G,1,FALSE),"")</x:f>
      </x:c>
      <x:c r="O190" s="21" t="str">
        <x:f>_xlfn.IFNA(VLOOKUP(_xlfn.CONCAT("T",O$1,"V",$D190,"A",$A190),Vulnerabilities!$G:$G,1,FALSE),"")</x:f>
      </x:c>
      <x:c r="P190" s="17" t="str">
        <x:f>_xlfn.IFNA(VLOOKUP(_xlfn.CONCAT("T",P$1,"V",$D190,"A",$A190),Vulnerabilities!$G:$G,1,FALSE),"")</x:f>
      </x:c>
    </x:row>
    <x:row r="191">
      <x:c r="A191" s="1">
        <x:f t="shared" si="3"/>
        <x:v>48</x:v>
      </x:c>
      <x:c r="B191" t="str">
        <x:f>IF(VLOOKUP($A191,Assets!$A:$C,2,FALSE)=0,"",VLOOKUP($A191,Assets!$A:$C,2,FALSE))</x:f>
      </x:c>
      <x:c r="C191" t="str">
        <x:f>IF(VLOOKUP($A191,Assets!$A:$C,3,FALSE)=0,"",VLOOKUP($A191,Assets!$A:$C,3,FALSE))</x:f>
      </x:c>
      <x:c r="D191" s="16">
        <x:v>1</x:v>
      </x:c>
      <x:c r="E191" s="20" t="str">
        <x:f>_xlfn.IFNA(VLOOKUP(_xlfn.CONCAT("T",E$1,"V",$D191,"A",$A191),Vulnerabilities!$G:$G,1,FALSE),"")</x:f>
      </x:c>
      <x:c r="F191" s="20" t="str">
        <x:f>_xlfn.IFNA(VLOOKUP(_xlfn.CONCAT("T",F$1,"V",$D191,"A",$A191),Vulnerabilities!$G:$G,1,FALSE),"")</x:f>
      </x:c>
      <x:c r="G191" s="20" t="str">
        <x:f>_xlfn.IFNA(VLOOKUP(_xlfn.CONCAT("T",G$1,"V",$D191,"A",$A191),Vulnerabilities!$G:$G,1,FALSE),"")</x:f>
      </x:c>
      <x:c r="H191" s="20" t="str">
        <x:f>_xlfn.IFNA(VLOOKUP(_xlfn.CONCAT("T",H$1,"V",$D191,"A",$A191),Vulnerabilities!$G:$G,1,FALSE),"")</x:f>
      </x:c>
      <x:c r="I191" s="20" t="str">
        <x:f>_xlfn.IFNA(VLOOKUP(_xlfn.CONCAT("T",I$1,"V",$D191,"A",$A191),Vulnerabilities!$G:$G,1,FALSE),"")</x:f>
      </x:c>
      <x:c r="J191" s="20" t="str">
        <x:f>_xlfn.IFNA(VLOOKUP(_xlfn.CONCAT("T",J$1,"V",$D191,"A",$A191),Vulnerabilities!$G:$G,1,FALSE),"")</x:f>
      </x:c>
      <x:c r="K191" s="20" t="str">
        <x:f>_xlfn.IFNA(VLOOKUP(_xlfn.CONCAT("T",K$1,"V",$D191,"A",$A191),Vulnerabilities!$G:$G,1,FALSE),"")</x:f>
      </x:c>
      <x:c r="L191" s="20" t="str">
        <x:f>_xlfn.IFNA(VLOOKUP(_xlfn.CONCAT("T",L$1,"V",$D191,"A",$A191),Vulnerabilities!$G:$G,1,FALSE),"")</x:f>
      </x:c>
      <x:c r="M191" s="20" t="str">
        <x:f>_xlfn.IFNA(VLOOKUP(_xlfn.CONCAT("T",M$1,"V",$D191,"A",$A191),Vulnerabilities!$G:$G,1,FALSE),"")</x:f>
      </x:c>
      <x:c r="N191" s="20" t="str">
        <x:f>_xlfn.IFNA(VLOOKUP(_xlfn.CONCAT("T",N$1,"V",$D191,"A",$A191),Vulnerabilities!$G:$G,1,FALSE),"")</x:f>
      </x:c>
      <x:c r="O191" s="20" t="str">
        <x:f>_xlfn.IFNA(VLOOKUP(_xlfn.CONCAT("T",O$1,"V",$D191,"A",$A191),Vulnerabilities!$G:$G,1,FALSE),"")</x:f>
      </x:c>
      <x:c r="P191" s="16" t="str">
        <x:f>_xlfn.IFNA(VLOOKUP(_xlfn.CONCAT("T",P$1,"V",$D191,"A",$A191),Vulnerabilities!$G:$G,1,FALSE),"")</x:f>
      </x:c>
    </x:row>
    <x:row r="192">
      <x:c r="A192" s="1">
        <x:f t="shared" si="3"/>
        <x:v>48</x:v>
      </x:c>
      <x:c r="B192" t="str">
        <x:f>IF(VLOOKUP($A192,Assets!$A:$C,2,FALSE)=0,"",VLOOKUP($A192,Assets!$A:$C,2,FALSE))</x:f>
      </x:c>
      <x:c r="C192" t="str">
        <x:f>IF(VLOOKUP($A192,Assets!$A:$C,3,FALSE)=0,"",VLOOKUP($A192,Assets!$A:$C,3,FALSE))</x:f>
      </x:c>
      <x:c r="D192" s="16">
        <x:v>2</x:v>
      </x:c>
      <x:c r="E192" s="20" t="str">
        <x:f>_xlfn.IFNA(VLOOKUP(_xlfn.CONCAT("T",E$1,"V",$D192,"A",$A192),Vulnerabilities!$G:$G,1,FALSE),"")</x:f>
      </x:c>
      <x:c r="F192" s="20" t="str">
        <x:f>_xlfn.IFNA(VLOOKUP(_xlfn.CONCAT("T",F$1,"V",$D192,"A",$A192),Vulnerabilities!$G:$G,1,FALSE),"")</x:f>
      </x:c>
      <x:c r="G192" s="20" t="str">
        <x:f>_xlfn.IFNA(VLOOKUP(_xlfn.CONCAT("T",G$1,"V",$D192,"A",$A192),Vulnerabilities!$G:$G,1,FALSE),"")</x:f>
      </x:c>
      <x:c r="H192" s="20" t="str">
        <x:f>_xlfn.IFNA(VLOOKUP(_xlfn.CONCAT("T",H$1,"V",$D192,"A",$A192),Vulnerabilities!$G:$G,1,FALSE),"")</x:f>
      </x:c>
      <x:c r="I192" s="20" t="str">
        <x:f>_xlfn.IFNA(VLOOKUP(_xlfn.CONCAT("T",I$1,"V",$D192,"A",$A192),Vulnerabilities!$G:$G,1,FALSE),"")</x:f>
      </x:c>
      <x:c r="J192" s="20" t="str">
        <x:f>_xlfn.IFNA(VLOOKUP(_xlfn.CONCAT("T",J$1,"V",$D192,"A",$A192),Vulnerabilities!$G:$G,1,FALSE),"")</x:f>
      </x:c>
      <x:c r="K192" s="20" t="str">
        <x:f>_xlfn.IFNA(VLOOKUP(_xlfn.CONCAT("T",K$1,"V",$D192,"A",$A192),Vulnerabilities!$G:$G,1,FALSE),"")</x:f>
      </x:c>
      <x:c r="L192" s="20" t="str">
        <x:f>_xlfn.IFNA(VLOOKUP(_xlfn.CONCAT("T",L$1,"V",$D192,"A",$A192),Vulnerabilities!$G:$G,1,FALSE),"")</x:f>
      </x:c>
      <x:c r="M192" s="20" t="str">
        <x:f>_xlfn.IFNA(VLOOKUP(_xlfn.CONCAT("T",M$1,"V",$D192,"A",$A192),Vulnerabilities!$G:$G,1,FALSE),"")</x:f>
      </x:c>
      <x:c r="N192" s="20" t="str">
        <x:f>_xlfn.IFNA(VLOOKUP(_xlfn.CONCAT("T",N$1,"V",$D192,"A",$A192),Vulnerabilities!$G:$G,1,FALSE),"")</x:f>
      </x:c>
      <x:c r="O192" s="20" t="str">
        <x:f>_xlfn.IFNA(VLOOKUP(_xlfn.CONCAT("T",O$1,"V",$D192,"A",$A192),Vulnerabilities!$G:$G,1,FALSE),"")</x:f>
      </x:c>
      <x:c r="P192" s="16" t="str">
        <x:f>_xlfn.IFNA(VLOOKUP(_xlfn.CONCAT("T",P$1,"V",$D192,"A",$A192),Vulnerabilities!$G:$G,1,FALSE),"")</x:f>
      </x:c>
    </x:row>
    <x:row r="193">
      <x:c r="A193" s="1">
        <x:f t="shared" si="3"/>
        <x:v>48</x:v>
      </x:c>
      <x:c r="B193" t="str">
        <x:f>IF(VLOOKUP($A193,Assets!$A:$C,2,FALSE)=0,"",VLOOKUP($A193,Assets!$A:$C,2,FALSE))</x:f>
      </x:c>
      <x:c r="C193" t="str">
        <x:f>IF(VLOOKUP($A193,Assets!$A:$C,3,FALSE)=0,"",VLOOKUP($A193,Assets!$A:$C,3,FALSE))</x:f>
      </x:c>
      <x:c r="D193" s="16">
        <x:v>3</x:v>
      </x:c>
      <x:c r="E193" s="20" t="str">
        <x:f>_xlfn.IFNA(VLOOKUP(_xlfn.CONCAT("T",E$1,"V",$D193,"A",$A193),Vulnerabilities!$G:$G,1,FALSE),"")</x:f>
      </x:c>
      <x:c r="F193" s="20" t="str">
        <x:f>_xlfn.IFNA(VLOOKUP(_xlfn.CONCAT("T",F$1,"V",$D193,"A",$A193),Vulnerabilities!$G:$G,1,FALSE),"")</x:f>
      </x:c>
      <x:c r="G193" s="20" t="str">
        <x:f>_xlfn.IFNA(VLOOKUP(_xlfn.CONCAT("T",G$1,"V",$D193,"A",$A193),Vulnerabilities!$G:$G,1,FALSE),"")</x:f>
      </x:c>
      <x:c r="H193" s="20" t="str">
        <x:f>_xlfn.IFNA(VLOOKUP(_xlfn.CONCAT("T",H$1,"V",$D193,"A",$A193),Vulnerabilities!$G:$G,1,FALSE),"")</x:f>
      </x:c>
      <x:c r="I193" s="20" t="str">
        <x:f>_xlfn.IFNA(VLOOKUP(_xlfn.CONCAT("T",I$1,"V",$D193,"A",$A193),Vulnerabilities!$G:$G,1,FALSE),"")</x:f>
      </x:c>
      <x:c r="J193" s="20" t="str">
        <x:f>_xlfn.IFNA(VLOOKUP(_xlfn.CONCAT("T",J$1,"V",$D193,"A",$A193),Vulnerabilities!$G:$G,1,FALSE),"")</x:f>
      </x:c>
      <x:c r="K193" s="20" t="str">
        <x:f>_xlfn.IFNA(VLOOKUP(_xlfn.CONCAT("T",K$1,"V",$D193,"A",$A193),Vulnerabilities!$G:$G,1,FALSE),"")</x:f>
      </x:c>
      <x:c r="L193" s="20" t="str">
        <x:f>_xlfn.IFNA(VLOOKUP(_xlfn.CONCAT("T",L$1,"V",$D193,"A",$A193),Vulnerabilities!$G:$G,1,FALSE),"")</x:f>
      </x:c>
      <x:c r="M193" s="20" t="str">
        <x:f>_xlfn.IFNA(VLOOKUP(_xlfn.CONCAT("T",M$1,"V",$D193,"A",$A193),Vulnerabilities!$G:$G,1,FALSE),"")</x:f>
      </x:c>
      <x:c r="N193" s="20" t="str">
        <x:f>_xlfn.IFNA(VLOOKUP(_xlfn.CONCAT("T",N$1,"V",$D193,"A",$A193),Vulnerabilities!$G:$G,1,FALSE),"")</x:f>
      </x:c>
      <x:c r="O193" s="20" t="str">
        <x:f>_xlfn.IFNA(VLOOKUP(_xlfn.CONCAT("T",O$1,"V",$D193,"A",$A193),Vulnerabilities!$G:$G,1,FALSE),"")</x:f>
      </x:c>
      <x:c r="P193" s="16" t="str">
        <x:f>_xlfn.IFNA(VLOOKUP(_xlfn.CONCAT("T",P$1,"V",$D193,"A",$A193),Vulnerabilities!$G:$G,1,FALSE),"")</x:f>
      </x:c>
    </x:row>
    <x:row r="194">
      <x:c r="A194" s="11">
        <x:f t="shared" si="3"/>
        <x:v>48</x:v>
      </x:c>
      <x:c r="B194" s="12" t="str">
        <x:f>IF(VLOOKUP($A194,Assets!$A:$C,2,FALSE)=0,"",VLOOKUP($A194,Assets!$A:$C,2,FALSE))</x:f>
      </x:c>
      <x:c r="C194" s="12" t="str">
        <x:f>IF(VLOOKUP($A194,Assets!$A:$C,3,FALSE)=0,"",VLOOKUP($A194,Assets!$A:$C,3,FALSE))</x:f>
      </x:c>
      <x:c r="D194" s="17">
        <x:v>4</x:v>
      </x:c>
      <x:c r="E194" s="21" t="str">
        <x:f>_xlfn.IFNA(VLOOKUP(_xlfn.CONCAT("T",E$1,"V",$D194,"A",$A194),Vulnerabilities!$G:$G,1,FALSE),"")</x:f>
      </x:c>
      <x:c r="F194" s="21" t="str">
        <x:f>_xlfn.IFNA(VLOOKUP(_xlfn.CONCAT("T",F$1,"V",$D194,"A",$A194),Vulnerabilities!$G:$G,1,FALSE),"")</x:f>
      </x:c>
      <x:c r="G194" s="21" t="str">
        <x:f>_xlfn.IFNA(VLOOKUP(_xlfn.CONCAT("T",G$1,"V",$D194,"A",$A194),Vulnerabilities!$G:$G,1,FALSE),"")</x:f>
      </x:c>
      <x:c r="H194" s="21" t="str">
        <x:f>_xlfn.IFNA(VLOOKUP(_xlfn.CONCAT("T",H$1,"V",$D194,"A",$A194),Vulnerabilities!$G:$G,1,FALSE),"")</x:f>
      </x:c>
      <x:c r="I194" s="21" t="str">
        <x:f>_xlfn.IFNA(VLOOKUP(_xlfn.CONCAT("T",I$1,"V",$D194,"A",$A194),Vulnerabilities!$G:$G,1,FALSE),"")</x:f>
      </x:c>
      <x:c r="J194" s="21" t="str">
        <x:f>_xlfn.IFNA(VLOOKUP(_xlfn.CONCAT("T",J$1,"V",$D194,"A",$A194),Vulnerabilities!$G:$G,1,FALSE),"")</x:f>
      </x:c>
      <x:c r="K194" s="21" t="str">
        <x:f>_xlfn.IFNA(VLOOKUP(_xlfn.CONCAT("T",K$1,"V",$D194,"A",$A194),Vulnerabilities!$G:$G,1,FALSE),"")</x:f>
      </x:c>
      <x:c r="L194" s="21" t="str">
        <x:f>_xlfn.IFNA(VLOOKUP(_xlfn.CONCAT("T",L$1,"V",$D194,"A",$A194),Vulnerabilities!$G:$G,1,FALSE),"")</x:f>
      </x:c>
      <x:c r="M194" s="21" t="str">
        <x:f>_xlfn.IFNA(VLOOKUP(_xlfn.CONCAT("T",M$1,"V",$D194,"A",$A194),Vulnerabilities!$G:$G,1,FALSE),"")</x:f>
      </x:c>
      <x:c r="N194" s="21" t="str">
        <x:f>_xlfn.IFNA(VLOOKUP(_xlfn.CONCAT("T",N$1,"V",$D194,"A",$A194),Vulnerabilities!$G:$G,1,FALSE),"")</x:f>
      </x:c>
      <x:c r="O194" s="21" t="str">
        <x:f>_xlfn.IFNA(VLOOKUP(_xlfn.CONCAT("T",O$1,"V",$D194,"A",$A194),Vulnerabilities!$G:$G,1,FALSE),"")</x:f>
      </x:c>
      <x:c r="P194" s="17" t="str">
        <x:f>_xlfn.IFNA(VLOOKUP(_xlfn.CONCAT("T",P$1,"V",$D194,"A",$A194),Vulnerabilities!$G:$G,1,FALSE),"")</x:f>
      </x:c>
    </x:row>
    <x:row r="195">
      <x:c r="A195" s="1">
        <x:f t="shared" si="3"/>
        <x:v>49</x:v>
      </x:c>
      <x:c r="B195" t="str">
        <x:f>IF(VLOOKUP($A195,Assets!$A:$C,2,FALSE)=0,"",VLOOKUP($A195,Assets!$A:$C,2,FALSE))</x:f>
      </x:c>
      <x:c r="C195" t="str">
        <x:f>IF(VLOOKUP($A195,Assets!$A:$C,3,FALSE)=0,"",VLOOKUP($A195,Assets!$A:$C,3,FALSE))</x:f>
      </x:c>
      <x:c r="D195" s="16">
        <x:v>1</x:v>
      </x:c>
      <x:c r="E195" s="20" t="str">
        <x:f>_xlfn.IFNA(VLOOKUP(_xlfn.CONCAT("T",E$1,"V",$D195,"A",$A195),Vulnerabilities!$G:$G,1,FALSE),"")</x:f>
      </x:c>
      <x:c r="F195" s="20" t="str">
        <x:f>_xlfn.IFNA(VLOOKUP(_xlfn.CONCAT("T",F$1,"V",$D195,"A",$A195),Vulnerabilities!$G:$G,1,FALSE),"")</x:f>
      </x:c>
      <x:c r="G195" s="20" t="str">
        <x:f>_xlfn.IFNA(VLOOKUP(_xlfn.CONCAT("T",G$1,"V",$D195,"A",$A195),Vulnerabilities!$G:$G,1,FALSE),"")</x:f>
      </x:c>
      <x:c r="H195" s="20" t="str">
        <x:f>_xlfn.IFNA(VLOOKUP(_xlfn.CONCAT("T",H$1,"V",$D195,"A",$A195),Vulnerabilities!$G:$G,1,FALSE),"")</x:f>
      </x:c>
      <x:c r="I195" s="20" t="str">
        <x:f>_xlfn.IFNA(VLOOKUP(_xlfn.CONCAT("T",I$1,"V",$D195,"A",$A195),Vulnerabilities!$G:$G,1,FALSE),"")</x:f>
      </x:c>
      <x:c r="J195" s="20" t="str">
        <x:f>_xlfn.IFNA(VLOOKUP(_xlfn.CONCAT("T",J$1,"V",$D195,"A",$A195),Vulnerabilities!$G:$G,1,FALSE),"")</x:f>
      </x:c>
      <x:c r="K195" s="20" t="str">
        <x:f>_xlfn.IFNA(VLOOKUP(_xlfn.CONCAT("T",K$1,"V",$D195,"A",$A195),Vulnerabilities!$G:$G,1,FALSE),"")</x:f>
      </x:c>
      <x:c r="L195" s="20" t="str">
        <x:f>_xlfn.IFNA(VLOOKUP(_xlfn.CONCAT("T",L$1,"V",$D195,"A",$A195),Vulnerabilities!$G:$G,1,FALSE),"")</x:f>
      </x:c>
      <x:c r="M195" s="20" t="str">
        <x:f>_xlfn.IFNA(VLOOKUP(_xlfn.CONCAT("T",M$1,"V",$D195,"A",$A195),Vulnerabilities!$G:$G,1,FALSE),"")</x:f>
      </x:c>
      <x:c r="N195" s="20" t="str">
        <x:f>_xlfn.IFNA(VLOOKUP(_xlfn.CONCAT("T",N$1,"V",$D195,"A",$A195),Vulnerabilities!$G:$G,1,FALSE),"")</x:f>
      </x:c>
      <x:c r="O195" s="20" t="str">
        <x:f>_xlfn.IFNA(VLOOKUP(_xlfn.CONCAT("T",O$1,"V",$D195,"A",$A195),Vulnerabilities!$G:$G,1,FALSE),"")</x:f>
      </x:c>
      <x:c r="P195" s="16" t="str">
        <x:f>_xlfn.IFNA(VLOOKUP(_xlfn.CONCAT("T",P$1,"V",$D195,"A",$A195),Vulnerabilities!$G:$G,1,FALSE),"")</x:f>
      </x:c>
    </x:row>
    <x:row r="196">
      <x:c r="A196" s="1">
        <x:f t="shared" si="3"/>
        <x:v>49</x:v>
      </x:c>
      <x:c r="B196" t="str">
        <x:f>IF(VLOOKUP($A196,Assets!$A:$C,2,FALSE)=0,"",VLOOKUP($A196,Assets!$A:$C,2,FALSE))</x:f>
      </x:c>
      <x:c r="C196" t="str">
        <x:f>IF(VLOOKUP($A196,Assets!$A:$C,3,FALSE)=0,"",VLOOKUP($A196,Assets!$A:$C,3,FALSE))</x:f>
      </x:c>
      <x:c r="D196" s="16">
        <x:v>2</x:v>
      </x:c>
      <x:c r="E196" s="20" t="str">
        <x:f>_xlfn.IFNA(VLOOKUP(_xlfn.CONCAT("T",E$1,"V",$D196,"A",$A196),Vulnerabilities!$G:$G,1,FALSE),"")</x:f>
      </x:c>
      <x:c r="F196" s="20" t="str">
        <x:f>_xlfn.IFNA(VLOOKUP(_xlfn.CONCAT("T",F$1,"V",$D196,"A",$A196),Vulnerabilities!$G:$G,1,FALSE),"")</x:f>
      </x:c>
      <x:c r="G196" s="20" t="str">
        <x:f>_xlfn.IFNA(VLOOKUP(_xlfn.CONCAT("T",G$1,"V",$D196,"A",$A196),Vulnerabilities!$G:$G,1,FALSE),"")</x:f>
      </x:c>
      <x:c r="H196" s="20" t="str">
        <x:f>_xlfn.IFNA(VLOOKUP(_xlfn.CONCAT("T",H$1,"V",$D196,"A",$A196),Vulnerabilities!$G:$G,1,FALSE),"")</x:f>
      </x:c>
      <x:c r="I196" s="20" t="str">
        <x:f>_xlfn.IFNA(VLOOKUP(_xlfn.CONCAT("T",I$1,"V",$D196,"A",$A196),Vulnerabilities!$G:$G,1,FALSE),"")</x:f>
      </x:c>
      <x:c r="J196" s="20" t="str">
        <x:f>_xlfn.IFNA(VLOOKUP(_xlfn.CONCAT("T",J$1,"V",$D196,"A",$A196),Vulnerabilities!$G:$G,1,FALSE),"")</x:f>
      </x:c>
      <x:c r="K196" s="20" t="str">
        <x:f>_xlfn.IFNA(VLOOKUP(_xlfn.CONCAT("T",K$1,"V",$D196,"A",$A196),Vulnerabilities!$G:$G,1,FALSE),"")</x:f>
      </x:c>
      <x:c r="L196" s="20" t="str">
        <x:f>_xlfn.IFNA(VLOOKUP(_xlfn.CONCAT("T",L$1,"V",$D196,"A",$A196),Vulnerabilities!$G:$G,1,FALSE),"")</x:f>
      </x:c>
      <x:c r="M196" s="20" t="str">
        <x:f>_xlfn.IFNA(VLOOKUP(_xlfn.CONCAT("T",M$1,"V",$D196,"A",$A196),Vulnerabilities!$G:$G,1,FALSE),"")</x:f>
      </x:c>
      <x:c r="N196" s="20" t="str">
        <x:f>_xlfn.IFNA(VLOOKUP(_xlfn.CONCAT("T",N$1,"V",$D196,"A",$A196),Vulnerabilities!$G:$G,1,FALSE),"")</x:f>
      </x:c>
      <x:c r="O196" s="20" t="str">
        <x:f>_xlfn.IFNA(VLOOKUP(_xlfn.CONCAT("T",O$1,"V",$D196,"A",$A196),Vulnerabilities!$G:$G,1,FALSE),"")</x:f>
      </x:c>
      <x:c r="P196" s="16" t="str">
        <x:f>_xlfn.IFNA(VLOOKUP(_xlfn.CONCAT("T",P$1,"V",$D196,"A",$A196),Vulnerabilities!$G:$G,1,FALSE),"")</x:f>
      </x:c>
    </x:row>
    <x:row r="197">
      <x:c r="A197" s="1">
        <x:f t="shared" si="3"/>
        <x:v>49</x:v>
      </x:c>
      <x:c r="B197" t="str">
        <x:f>IF(VLOOKUP($A197,Assets!$A:$C,2,FALSE)=0,"",VLOOKUP($A197,Assets!$A:$C,2,FALSE))</x:f>
      </x:c>
      <x:c r="C197" t="str">
        <x:f>IF(VLOOKUP($A197,Assets!$A:$C,3,FALSE)=0,"",VLOOKUP($A197,Assets!$A:$C,3,FALSE))</x:f>
      </x:c>
      <x:c r="D197" s="16">
        <x:v>3</x:v>
      </x:c>
      <x:c r="E197" s="20" t="str">
        <x:f>_xlfn.IFNA(VLOOKUP(_xlfn.CONCAT("T",E$1,"V",$D197,"A",$A197),Vulnerabilities!$G:$G,1,FALSE),"")</x:f>
      </x:c>
      <x:c r="F197" s="20" t="str">
        <x:f>_xlfn.IFNA(VLOOKUP(_xlfn.CONCAT("T",F$1,"V",$D197,"A",$A197),Vulnerabilities!$G:$G,1,FALSE),"")</x:f>
      </x:c>
      <x:c r="G197" s="20" t="str">
        <x:f>_xlfn.IFNA(VLOOKUP(_xlfn.CONCAT("T",G$1,"V",$D197,"A",$A197),Vulnerabilities!$G:$G,1,FALSE),"")</x:f>
      </x:c>
      <x:c r="H197" s="20" t="str">
        <x:f>_xlfn.IFNA(VLOOKUP(_xlfn.CONCAT("T",H$1,"V",$D197,"A",$A197),Vulnerabilities!$G:$G,1,FALSE),"")</x:f>
      </x:c>
      <x:c r="I197" s="20" t="str">
        <x:f>_xlfn.IFNA(VLOOKUP(_xlfn.CONCAT("T",I$1,"V",$D197,"A",$A197),Vulnerabilities!$G:$G,1,FALSE),"")</x:f>
      </x:c>
      <x:c r="J197" s="20" t="str">
        <x:f>_xlfn.IFNA(VLOOKUP(_xlfn.CONCAT("T",J$1,"V",$D197,"A",$A197),Vulnerabilities!$G:$G,1,FALSE),"")</x:f>
      </x:c>
      <x:c r="K197" s="20" t="str">
        <x:f>_xlfn.IFNA(VLOOKUP(_xlfn.CONCAT("T",K$1,"V",$D197,"A",$A197),Vulnerabilities!$G:$G,1,FALSE),"")</x:f>
      </x:c>
      <x:c r="L197" s="20" t="str">
        <x:f>_xlfn.IFNA(VLOOKUP(_xlfn.CONCAT("T",L$1,"V",$D197,"A",$A197),Vulnerabilities!$G:$G,1,FALSE),"")</x:f>
      </x:c>
      <x:c r="M197" s="20" t="str">
        <x:f>_xlfn.IFNA(VLOOKUP(_xlfn.CONCAT("T",M$1,"V",$D197,"A",$A197),Vulnerabilities!$G:$G,1,FALSE),"")</x:f>
      </x:c>
      <x:c r="N197" s="20" t="str">
        <x:f>_xlfn.IFNA(VLOOKUP(_xlfn.CONCAT("T",N$1,"V",$D197,"A",$A197),Vulnerabilities!$G:$G,1,FALSE),"")</x:f>
      </x:c>
      <x:c r="O197" s="20" t="str">
        <x:f>_xlfn.IFNA(VLOOKUP(_xlfn.CONCAT("T",O$1,"V",$D197,"A",$A197),Vulnerabilities!$G:$G,1,FALSE),"")</x:f>
      </x:c>
      <x:c r="P197" s="16" t="str">
        <x:f>_xlfn.IFNA(VLOOKUP(_xlfn.CONCAT("T",P$1,"V",$D197,"A",$A197),Vulnerabilities!$G:$G,1,FALSE),"")</x:f>
      </x:c>
    </x:row>
    <x:row r="198">
      <x:c r="A198" s="11">
        <x:f t="shared" si="3"/>
        <x:v>49</x:v>
      </x:c>
      <x:c r="B198" s="12" t="str">
        <x:f>IF(VLOOKUP($A198,Assets!$A:$C,2,FALSE)=0,"",VLOOKUP($A198,Assets!$A:$C,2,FALSE))</x:f>
      </x:c>
      <x:c r="C198" s="12" t="str">
        <x:f>IF(VLOOKUP($A198,Assets!$A:$C,3,FALSE)=0,"",VLOOKUP($A198,Assets!$A:$C,3,FALSE))</x:f>
      </x:c>
      <x:c r="D198" s="17">
        <x:v>4</x:v>
      </x:c>
      <x:c r="E198" s="21" t="str">
        <x:f>_xlfn.IFNA(VLOOKUP(_xlfn.CONCAT("T",E$1,"V",$D198,"A",$A198),Vulnerabilities!$G:$G,1,FALSE),"")</x:f>
      </x:c>
      <x:c r="F198" s="21" t="str">
        <x:f>_xlfn.IFNA(VLOOKUP(_xlfn.CONCAT("T",F$1,"V",$D198,"A",$A198),Vulnerabilities!$G:$G,1,FALSE),"")</x:f>
      </x:c>
      <x:c r="G198" s="21" t="str">
        <x:f>_xlfn.IFNA(VLOOKUP(_xlfn.CONCAT("T",G$1,"V",$D198,"A",$A198),Vulnerabilities!$G:$G,1,FALSE),"")</x:f>
      </x:c>
      <x:c r="H198" s="21" t="str">
        <x:f>_xlfn.IFNA(VLOOKUP(_xlfn.CONCAT("T",H$1,"V",$D198,"A",$A198),Vulnerabilities!$G:$G,1,FALSE),"")</x:f>
      </x:c>
      <x:c r="I198" s="21" t="str">
        <x:f>_xlfn.IFNA(VLOOKUP(_xlfn.CONCAT("T",I$1,"V",$D198,"A",$A198),Vulnerabilities!$G:$G,1,FALSE),"")</x:f>
      </x:c>
      <x:c r="J198" s="21" t="str">
        <x:f>_xlfn.IFNA(VLOOKUP(_xlfn.CONCAT("T",J$1,"V",$D198,"A",$A198),Vulnerabilities!$G:$G,1,FALSE),"")</x:f>
      </x:c>
      <x:c r="K198" s="21" t="str">
        <x:f>_xlfn.IFNA(VLOOKUP(_xlfn.CONCAT("T",K$1,"V",$D198,"A",$A198),Vulnerabilities!$G:$G,1,FALSE),"")</x:f>
      </x:c>
      <x:c r="L198" s="21" t="str">
        <x:f>_xlfn.IFNA(VLOOKUP(_xlfn.CONCAT("T",L$1,"V",$D198,"A",$A198),Vulnerabilities!$G:$G,1,FALSE),"")</x:f>
      </x:c>
      <x:c r="M198" s="21" t="str">
        <x:f>_xlfn.IFNA(VLOOKUP(_xlfn.CONCAT("T",M$1,"V",$D198,"A",$A198),Vulnerabilities!$G:$G,1,FALSE),"")</x:f>
      </x:c>
      <x:c r="N198" s="21" t="str">
        <x:f>_xlfn.IFNA(VLOOKUP(_xlfn.CONCAT("T",N$1,"V",$D198,"A",$A198),Vulnerabilities!$G:$G,1,FALSE),"")</x:f>
      </x:c>
      <x:c r="O198" s="21" t="str">
        <x:f>_xlfn.IFNA(VLOOKUP(_xlfn.CONCAT("T",O$1,"V",$D198,"A",$A198),Vulnerabilities!$G:$G,1,FALSE),"")</x:f>
      </x:c>
      <x:c r="P198" s="17" t="str">
        <x:f>_xlfn.IFNA(VLOOKUP(_xlfn.CONCAT("T",P$1,"V",$D198,"A",$A198),Vulnerabilities!$G:$G,1,FALSE),"")</x:f>
      </x:c>
    </x:row>
    <x:row r="199">
      <x:c r="A199" s="1">
        <x:f t="shared" si="3"/>
        <x:v>50</x:v>
      </x:c>
      <x:c r="B199" t="str">
        <x:f>IF(VLOOKUP($A199,Assets!$A:$C,2,FALSE)=0,"",VLOOKUP($A199,Assets!$A:$C,2,FALSE))</x:f>
      </x:c>
      <x:c r="C199" t="str">
        <x:f>IF(VLOOKUP($A199,Assets!$A:$C,3,FALSE)=0,"",VLOOKUP($A199,Assets!$A:$C,3,FALSE))</x:f>
      </x:c>
      <x:c r="D199" s="16">
        <x:v>1</x:v>
      </x:c>
      <x:c r="E199" s="20" t="str">
        <x:f>_xlfn.IFNA(VLOOKUP(_xlfn.CONCAT("T",E$1,"V",$D199,"A",$A199),Vulnerabilities!$G:$G,1,FALSE),"")</x:f>
      </x:c>
      <x:c r="F199" s="20" t="str">
        <x:f>_xlfn.IFNA(VLOOKUP(_xlfn.CONCAT("T",F$1,"V",$D199,"A",$A199),Vulnerabilities!$G:$G,1,FALSE),"")</x:f>
      </x:c>
      <x:c r="G199" s="20" t="str">
        <x:f>_xlfn.IFNA(VLOOKUP(_xlfn.CONCAT("T",G$1,"V",$D199,"A",$A199),Vulnerabilities!$G:$G,1,FALSE),"")</x:f>
      </x:c>
      <x:c r="H199" s="20" t="str">
        <x:f>_xlfn.IFNA(VLOOKUP(_xlfn.CONCAT("T",H$1,"V",$D199,"A",$A199),Vulnerabilities!$G:$G,1,FALSE),"")</x:f>
      </x:c>
      <x:c r="I199" s="20" t="str">
        <x:f>_xlfn.IFNA(VLOOKUP(_xlfn.CONCAT("T",I$1,"V",$D199,"A",$A199),Vulnerabilities!$G:$G,1,FALSE),"")</x:f>
      </x:c>
      <x:c r="J199" s="20" t="str">
        <x:f>_xlfn.IFNA(VLOOKUP(_xlfn.CONCAT("T",J$1,"V",$D199,"A",$A199),Vulnerabilities!$G:$G,1,FALSE),"")</x:f>
      </x:c>
      <x:c r="K199" s="20" t="str">
        <x:f>_xlfn.IFNA(VLOOKUP(_xlfn.CONCAT("T",K$1,"V",$D199,"A",$A199),Vulnerabilities!$G:$G,1,FALSE),"")</x:f>
      </x:c>
      <x:c r="L199" s="20" t="str">
        <x:f>_xlfn.IFNA(VLOOKUP(_xlfn.CONCAT("T",L$1,"V",$D199,"A",$A199),Vulnerabilities!$G:$G,1,FALSE),"")</x:f>
      </x:c>
      <x:c r="M199" s="20" t="str">
        <x:f>_xlfn.IFNA(VLOOKUP(_xlfn.CONCAT("T",M$1,"V",$D199,"A",$A199),Vulnerabilities!$G:$G,1,FALSE),"")</x:f>
      </x:c>
      <x:c r="N199" s="20" t="str">
        <x:f>_xlfn.IFNA(VLOOKUP(_xlfn.CONCAT("T",N$1,"V",$D199,"A",$A199),Vulnerabilities!$G:$G,1,FALSE),"")</x:f>
      </x:c>
      <x:c r="O199" s="20" t="str">
        <x:f>_xlfn.IFNA(VLOOKUP(_xlfn.CONCAT("T",O$1,"V",$D199,"A",$A199),Vulnerabilities!$G:$G,1,FALSE),"")</x:f>
      </x:c>
      <x:c r="P199" s="16" t="str">
        <x:f>_xlfn.IFNA(VLOOKUP(_xlfn.CONCAT("T",P$1,"V",$D199,"A",$A199),Vulnerabilities!$G:$G,1,FALSE),"")</x:f>
      </x:c>
    </x:row>
    <x:row r="200">
      <x:c r="A200" s="1">
        <x:f t="shared" si="3"/>
        <x:v>50</x:v>
      </x:c>
      <x:c r="B200" t="str">
        <x:f>IF(VLOOKUP($A200,Assets!$A:$C,2,FALSE)=0,"",VLOOKUP($A200,Assets!$A:$C,2,FALSE))</x:f>
      </x:c>
      <x:c r="C200" t="str">
        <x:f>IF(VLOOKUP($A200,Assets!$A:$C,3,FALSE)=0,"",VLOOKUP($A200,Assets!$A:$C,3,FALSE))</x:f>
      </x:c>
      <x:c r="D200" s="16">
        <x:v>2</x:v>
      </x:c>
      <x:c r="E200" s="20" t="str">
        <x:f>_xlfn.IFNA(VLOOKUP(_xlfn.CONCAT("T",E$1,"V",$D200,"A",$A200),Vulnerabilities!$G:$G,1,FALSE),"")</x:f>
      </x:c>
      <x:c r="F200" s="20" t="str">
        <x:f>_xlfn.IFNA(VLOOKUP(_xlfn.CONCAT("T",F$1,"V",$D200,"A",$A200),Vulnerabilities!$G:$G,1,FALSE),"")</x:f>
      </x:c>
      <x:c r="G200" s="20" t="str">
        <x:f>_xlfn.IFNA(VLOOKUP(_xlfn.CONCAT("T",G$1,"V",$D200,"A",$A200),Vulnerabilities!$G:$G,1,FALSE),"")</x:f>
      </x:c>
      <x:c r="H200" s="20" t="str">
        <x:f>_xlfn.IFNA(VLOOKUP(_xlfn.CONCAT("T",H$1,"V",$D200,"A",$A200),Vulnerabilities!$G:$G,1,FALSE),"")</x:f>
      </x:c>
      <x:c r="I200" s="20" t="str">
        <x:f>_xlfn.IFNA(VLOOKUP(_xlfn.CONCAT("T",I$1,"V",$D200,"A",$A200),Vulnerabilities!$G:$G,1,FALSE),"")</x:f>
      </x:c>
      <x:c r="J200" s="20" t="str">
        <x:f>_xlfn.IFNA(VLOOKUP(_xlfn.CONCAT("T",J$1,"V",$D200,"A",$A200),Vulnerabilities!$G:$G,1,FALSE),"")</x:f>
      </x:c>
      <x:c r="K200" s="20" t="str">
        <x:f>_xlfn.IFNA(VLOOKUP(_xlfn.CONCAT("T",K$1,"V",$D200,"A",$A200),Vulnerabilities!$G:$G,1,FALSE),"")</x:f>
      </x:c>
      <x:c r="L200" s="20" t="str">
        <x:f>_xlfn.IFNA(VLOOKUP(_xlfn.CONCAT("T",L$1,"V",$D200,"A",$A200),Vulnerabilities!$G:$G,1,FALSE),"")</x:f>
      </x:c>
      <x:c r="M200" s="20" t="str">
        <x:f>_xlfn.IFNA(VLOOKUP(_xlfn.CONCAT("T",M$1,"V",$D200,"A",$A200),Vulnerabilities!$G:$G,1,FALSE),"")</x:f>
      </x:c>
      <x:c r="N200" s="20" t="str">
        <x:f>_xlfn.IFNA(VLOOKUP(_xlfn.CONCAT("T",N$1,"V",$D200,"A",$A200),Vulnerabilities!$G:$G,1,FALSE),"")</x:f>
      </x:c>
      <x:c r="O200" s="20" t="str">
        <x:f>_xlfn.IFNA(VLOOKUP(_xlfn.CONCAT("T",O$1,"V",$D200,"A",$A200),Vulnerabilities!$G:$G,1,FALSE),"")</x:f>
      </x:c>
      <x:c r="P200" s="16" t="str">
        <x:f>_xlfn.IFNA(VLOOKUP(_xlfn.CONCAT("T",P$1,"V",$D200,"A",$A200),Vulnerabilities!$G:$G,1,FALSE),"")</x:f>
      </x:c>
    </x:row>
    <x:row r="201">
      <x:c r="A201" s="1">
        <x:f t="shared" si="3"/>
        <x:v>50</x:v>
      </x:c>
      <x:c r="B201" t="str">
        <x:f>IF(VLOOKUP($A201,Assets!$A:$C,2,FALSE)=0,"",VLOOKUP($A201,Assets!$A:$C,2,FALSE))</x:f>
      </x:c>
      <x:c r="C201" t="str">
        <x:f>IF(VLOOKUP($A201,Assets!$A:$C,3,FALSE)=0,"",VLOOKUP($A201,Assets!$A:$C,3,FALSE))</x:f>
      </x:c>
      <x:c r="D201" s="16">
        <x:v>3</x:v>
      </x:c>
      <x:c r="E201" s="20" t="str">
        <x:f>_xlfn.IFNA(VLOOKUP(_xlfn.CONCAT("T",E$1,"V",$D201,"A",$A201),Vulnerabilities!$G:$G,1,FALSE),"")</x:f>
      </x:c>
      <x:c r="F201" s="20" t="str">
        <x:f>_xlfn.IFNA(VLOOKUP(_xlfn.CONCAT("T",F$1,"V",$D201,"A",$A201),Vulnerabilities!$G:$G,1,FALSE),"")</x:f>
      </x:c>
      <x:c r="G201" s="20" t="str">
        <x:f>_xlfn.IFNA(VLOOKUP(_xlfn.CONCAT("T",G$1,"V",$D201,"A",$A201),Vulnerabilities!$G:$G,1,FALSE),"")</x:f>
      </x:c>
      <x:c r="H201" s="20" t="str">
        <x:f>_xlfn.IFNA(VLOOKUP(_xlfn.CONCAT("T",H$1,"V",$D201,"A",$A201),Vulnerabilities!$G:$G,1,FALSE),"")</x:f>
      </x:c>
      <x:c r="I201" s="20" t="str">
        <x:f>_xlfn.IFNA(VLOOKUP(_xlfn.CONCAT("T",I$1,"V",$D201,"A",$A201),Vulnerabilities!$G:$G,1,FALSE),"")</x:f>
      </x:c>
      <x:c r="J201" s="20" t="str">
        <x:f>_xlfn.IFNA(VLOOKUP(_xlfn.CONCAT("T",J$1,"V",$D201,"A",$A201),Vulnerabilities!$G:$G,1,FALSE),"")</x:f>
      </x:c>
      <x:c r="K201" s="20" t="str">
        <x:f>_xlfn.IFNA(VLOOKUP(_xlfn.CONCAT("T",K$1,"V",$D201,"A",$A201),Vulnerabilities!$G:$G,1,FALSE),"")</x:f>
      </x:c>
      <x:c r="L201" s="20" t="str">
        <x:f>_xlfn.IFNA(VLOOKUP(_xlfn.CONCAT("T",L$1,"V",$D201,"A",$A201),Vulnerabilities!$G:$G,1,FALSE),"")</x:f>
      </x:c>
      <x:c r="M201" s="20" t="str">
        <x:f>_xlfn.IFNA(VLOOKUP(_xlfn.CONCAT("T",M$1,"V",$D201,"A",$A201),Vulnerabilities!$G:$G,1,FALSE),"")</x:f>
      </x:c>
      <x:c r="N201" s="20" t="str">
        <x:f>_xlfn.IFNA(VLOOKUP(_xlfn.CONCAT("T",N$1,"V",$D201,"A",$A201),Vulnerabilities!$G:$G,1,FALSE),"")</x:f>
      </x:c>
      <x:c r="O201" s="20" t="str">
        <x:f>_xlfn.IFNA(VLOOKUP(_xlfn.CONCAT("T",O$1,"V",$D201,"A",$A201),Vulnerabilities!$G:$G,1,FALSE),"")</x:f>
      </x:c>
      <x:c r="P201" s="16" t="str">
        <x:f>_xlfn.IFNA(VLOOKUP(_xlfn.CONCAT("T",P$1,"V",$D201,"A",$A201),Vulnerabilities!$G:$G,1,FALSE),"")</x:f>
      </x:c>
    </x:row>
    <x:row r="202">
      <x:c r="A202" s="11">
        <x:f t="shared" si="3"/>
        <x:v>50</x:v>
      </x:c>
      <x:c r="B202" s="12" t="str">
        <x:f>IF(VLOOKUP($A202,Assets!$A:$C,2,FALSE)=0,"",VLOOKUP($A202,Assets!$A:$C,2,FALSE))</x:f>
      </x:c>
      <x:c r="C202" s="12" t="str">
        <x:f>IF(VLOOKUP($A202,Assets!$A:$C,3,FALSE)=0,"",VLOOKUP($A202,Assets!$A:$C,3,FALSE))</x:f>
      </x:c>
      <x:c r="D202" s="17">
        <x:v>4</x:v>
      </x:c>
      <x:c r="E202" s="21" t="str">
        <x:f>_xlfn.IFNA(VLOOKUP(_xlfn.CONCAT("T",E$1,"V",$D202,"A",$A202),Vulnerabilities!$G:$G,1,FALSE),"")</x:f>
      </x:c>
      <x:c r="F202" s="21" t="str">
        <x:f>_xlfn.IFNA(VLOOKUP(_xlfn.CONCAT("T",F$1,"V",$D202,"A",$A202),Vulnerabilities!$G:$G,1,FALSE),"")</x:f>
      </x:c>
      <x:c r="G202" s="21" t="str">
        <x:f>_xlfn.IFNA(VLOOKUP(_xlfn.CONCAT("T",G$1,"V",$D202,"A",$A202),Vulnerabilities!$G:$G,1,FALSE),"")</x:f>
      </x:c>
      <x:c r="H202" s="21" t="str">
        <x:f>_xlfn.IFNA(VLOOKUP(_xlfn.CONCAT("T",H$1,"V",$D202,"A",$A202),Vulnerabilities!$G:$G,1,FALSE),"")</x:f>
      </x:c>
      <x:c r="I202" s="21" t="str">
        <x:f>_xlfn.IFNA(VLOOKUP(_xlfn.CONCAT("T",I$1,"V",$D202,"A",$A202),Vulnerabilities!$G:$G,1,FALSE),"")</x:f>
      </x:c>
      <x:c r="J202" s="21" t="str">
        <x:f>_xlfn.IFNA(VLOOKUP(_xlfn.CONCAT("T",J$1,"V",$D202,"A",$A202),Vulnerabilities!$G:$G,1,FALSE),"")</x:f>
      </x:c>
      <x:c r="K202" s="21" t="str">
        <x:f>_xlfn.IFNA(VLOOKUP(_xlfn.CONCAT("T",K$1,"V",$D202,"A",$A202),Vulnerabilities!$G:$G,1,FALSE),"")</x:f>
      </x:c>
      <x:c r="L202" s="21" t="str">
        <x:f>_xlfn.IFNA(VLOOKUP(_xlfn.CONCAT("T",L$1,"V",$D202,"A",$A202),Vulnerabilities!$G:$G,1,FALSE),"")</x:f>
      </x:c>
      <x:c r="M202" s="21" t="str">
        <x:f>_xlfn.IFNA(VLOOKUP(_xlfn.CONCAT("T",M$1,"V",$D202,"A",$A202),Vulnerabilities!$G:$G,1,FALSE),"")</x:f>
      </x:c>
      <x:c r="N202" s="21" t="str">
        <x:f>_xlfn.IFNA(VLOOKUP(_xlfn.CONCAT("T",N$1,"V",$D202,"A",$A202),Vulnerabilities!$G:$G,1,FALSE),"")</x:f>
      </x:c>
      <x:c r="O202" s="21" t="str">
        <x:f>_xlfn.IFNA(VLOOKUP(_xlfn.CONCAT("T",O$1,"V",$D202,"A",$A202),Vulnerabilities!$G:$G,1,FALSE),"")</x:f>
      </x:c>
      <x:c r="P202" s="17" t="str">
        <x:f>_xlfn.IFNA(VLOOKUP(_xlfn.CONCAT("T",P$1,"V",$D202,"A",$A202),Vulnerabilities!$G:$G,1,FALSE),"")</x:f>
      </x:c>
    </x:row>
    <x:row r="203">
      <x:c r="A203" s="1">
        <x:f t="shared" si="3"/>
        <x:v>51</x:v>
      </x:c>
      <x:c r="B203" t="str">
        <x:f>IF(VLOOKUP($A203,Assets!$A:$C,2,FALSE)=0,"",VLOOKUP($A203,Assets!$A:$C,2,FALSE))</x:f>
      </x:c>
      <x:c r="C203" t="str">
        <x:f>IF(VLOOKUP($A203,Assets!$A:$C,3,FALSE)=0,"",VLOOKUP($A203,Assets!$A:$C,3,FALSE))</x:f>
      </x:c>
      <x:c r="D203" s="16">
        <x:v>1</x:v>
      </x:c>
      <x:c r="E203" s="20" t="str">
        <x:f>_xlfn.IFNA(VLOOKUP(_xlfn.CONCAT("T",E$1,"V",$D203,"A",$A203),Vulnerabilities!$G:$G,1,FALSE),"")</x:f>
      </x:c>
      <x:c r="F203" s="20" t="str">
        <x:f>_xlfn.IFNA(VLOOKUP(_xlfn.CONCAT("T",F$1,"V",$D203,"A",$A203),Vulnerabilities!$G:$G,1,FALSE),"")</x:f>
      </x:c>
      <x:c r="G203" s="20" t="str">
        <x:f>_xlfn.IFNA(VLOOKUP(_xlfn.CONCAT("T",G$1,"V",$D203,"A",$A203),Vulnerabilities!$G:$G,1,FALSE),"")</x:f>
      </x:c>
      <x:c r="H203" s="20" t="str">
        <x:f>_xlfn.IFNA(VLOOKUP(_xlfn.CONCAT("T",H$1,"V",$D203,"A",$A203),Vulnerabilities!$G:$G,1,FALSE),"")</x:f>
      </x:c>
      <x:c r="I203" s="20" t="str">
        <x:f>_xlfn.IFNA(VLOOKUP(_xlfn.CONCAT("T",I$1,"V",$D203,"A",$A203),Vulnerabilities!$G:$G,1,FALSE),"")</x:f>
      </x:c>
      <x:c r="J203" s="20" t="str">
        <x:f>_xlfn.IFNA(VLOOKUP(_xlfn.CONCAT("T",J$1,"V",$D203,"A",$A203),Vulnerabilities!$G:$G,1,FALSE),"")</x:f>
      </x:c>
      <x:c r="K203" s="20" t="str">
        <x:f>_xlfn.IFNA(VLOOKUP(_xlfn.CONCAT("T",K$1,"V",$D203,"A",$A203),Vulnerabilities!$G:$G,1,FALSE),"")</x:f>
      </x:c>
      <x:c r="L203" s="20" t="str">
        <x:f>_xlfn.IFNA(VLOOKUP(_xlfn.CONCAT("T",L$1,"V",$D203,"A",$A203),Vulnerabilities!$G:$G,1,FALSE),"")</x:f>
      </x:c>
      <x:c r="M203" s="20" t="str">
        <x:f>_xlfn.IFNA(VLOOKUP(_xlfn.CONCAT("T",M$1,"V",$D203,"A",$A203),Vulnerabilities!$G:$G,1,FALSE),"")</x:f>
      </x:c>
      <x:c r="N203" s="20" t="str">
        <x:f>_xlfn.IFNA(VLOOKUP(_xlfn.CONCAT("T",N$1,"V",$D203,"A",$A203),Vulnerabilities!$G:$G,1,FALSE),"")</x:f>
      </x:c>
      <x:c r="O203" s="20" t="str">
        <x:f>_xlfn.IFNA(VLOOKUP(_xlfn.CONCAT("T",O$1,"V",$D203,"A",$A203),Vulnerabilities!$G:$G,1,FALSE),"")</x:f>
      </x:c>
      <x:c r="P203" s="16" t="str">
        <x:f>_xlfn.IFNA(VLOOKUP(_xlfn.CONCAT("T",P$1,"V",$D203,"A",$A203),Vulnerabilities!$G:$G,1,FALSE),"")</x:f>
      </x:c>
    </x:row>
    <x:row r="204">
      <x:c r="A204" s="1">
        <x:f t="shared" si="3"/>
        <x:v>51</x:v>
      </x:c>
      <x:c r="B204" t="str">
        <x:f>IF(VLOOKUP($A204,Assets!$A:$C,2,FALSE)=0,"",VLOOKUP($A204,Assets!$A:$C,2,FALSE))</x:f>
      </x:c>
      <x:c r="C204" t="str">
        <x:f>IF(VLOOKUP($A204,Assets!$A:$C,3,FALSE)=0,"",VLOOKUP($A204,Assets!$A:$C,3,FALSE))</x:f>
      </x:c>
      <x:c r="D204" s="16">
        <x:v>2</x:v>
      </x:c>
      <x:c r="E204" s="20" t="str">
        <x:f>_xlfn.IFNA(VLOOKUP(_xlfn.CONCAT("T",E$1,"V",$D204,"A",$A204),Vulnerabilities!$G:$G,1,FALSE),"")</x:f>
      </x:c>
      <x:c r="F204" s="20" t="str">
        <x:f>_xlfn.IFNA(VLOOKUP(_xlfn.CONCAT("T",F$1,"V",$D204,"A",$A204),Vulnerabilities!$G:$G,1,FALSE),"")</x:f>
      </x:c>
      <x:c r="G204" s="20" t="str">
        <x:f>_xlfn.IFNA(VLOOKUP(_xlfn.CONCAT("T",G$1,"V",$D204,"A",$A204),Vulnerabilities!$G:$G,1,FALSE),"")</x:f>
      </x:c>
      <x:c r="H204" s="20" t="str">
        <x:f>_xlfn.IFNA(VLOOKUP(_xlfn.CONCAT("T",H$1,"V",$D204,"A",$A204),Vulnerabilities!$G:$G,1,FALSE),"")</x:f>
      </x:c>
      <x:c r="I204" s="20" t="str">
        <x:f>_xlfn.IFNA(VLOOKUP(_xlfn.CONCAT("T",I$1,"V",$D204,"A",$A204),Vulnerabilities!$G:$G,1,FALSE),"")</x:f>
      </x:c>
      <x:c r="J204" s="20" t="str">
        <x:f>_xlfn.IFNA(VLOOKUP(_xlfn.CONCAT("T",J$1,"V",$D204,"A",$A204),Vulnerabilities!$G:$G,1,FALSE),"")</x:f>
      </x:c>
      <x:c r="K204" s="20" t="str">
        <x:f>_xlfn.IFNA(VLOOKUP(_xlfn.CONCAT("T",K$1,"V",$D204,"A",$A204),Vulnerabilities!$G:$G,1,FALSE),"")</x:f>
      </x:c>
      <x:c r="L204" s="20" t="str">
        <x:f>_xlfn.IFNA(VLOOKUP(_xlfn.CONCAT("T",L$1,"V",$D204,"A",$A204),Vulnerabilities!$G:$G,1,FALSE),"")</x:f>
      </x:c>
      <x:c r="M204" s="20" t="str">
        <x:f>_xlfn.IFNA(VLOOKUP(_xlfn.CONCAT("T",M$1,"V",$D204,"A",$A204),Vulnerabilities!$G:$G,1,FALSE),"")</x:f>
      </x:c>
      <x:c r="N204" s="20" t="str">
        <x:f>_xlfn.IFNA(VLOOKUP(_xlfn.CONCAT("T",N$1,"V",$D204,"A",$A204),Vulnerabilities!$G:$G,1,FALSE),"")</x:f>
      </x:c>
      <x:c r="O204" s="20" t="str">
        <x:f>_xlfn.IFNA(VLOOKUP(_xlfn.CONCAT("T",O$1,"V",$D204,"A",$A204),Vulnerabilities!$G:$G,1,FALSE),"")</x:f>
      </x:c>
      <x:c r="P204" s="16" t="str">
        <x:f>_xlfn.IFNA(VLOOKUP(_xlfn.CONCAT("T",P$1,"V",$D204,"A",$A204),Vulnerabilities!$G:$G,1,FALSE),"")</x:f>
      </x:c>
    </x:row>
    <x:row r="205">
      <x:c r="A205" s="1">
        <x:f t="shared" si="3"/>
        <x:v>51</x:v>
      </x:c>
      <x:c r="B205" t="str">
        <x:f>IF(VLOOKUP($A205,Assets!$A:$C,2,FALSE)=0,"",VLOOKUP($A205,Assets!$A:$C,2,FALSE))</x:f>
      </x:c>
      <x:c r="C205" t="str">
        <x:f>IF(VLOOKUP($A205,Assets!$A:$C,3,FALSE)=0,"",VLOOKUP($A205,Assets!$A:$C,3,FALSE))</x:f>
      </x:c>
      <x:c r="D205" s="16">
        <x:v>3</x:v>
      </x:c>
      <x:c r="E205" s="20" t="str">
        <x:f>_xlfn.IFNA(VLOOKUP(_xlfn.CONCAT("T",E$1,"V",$D205,"A",$A205),Vulnerabilities!$G:$G,1,FALSE),"")</x:f>
      </x:c>
      <x:c r="F205" s="20" t="str">
        <x:f>_xlfn.IFNA(VLOOKUP(_xlfn.CONCAT("T",F$1,"V",$D205,"A",$A205),Vulnerabilities!$G:$G,1,FALSE),"")</x:f>
      </x:c>
      <x:c r="G205" s="20" t="str">
        <x:f>_xlfn.IFNA(VLOOKUP(_xlfn.CONCAT("T",G$1,"V",$D205,"A",$A205),Vulnerabilities!$G:$G,1,FALSE),"")</x:f>
      </x:c>
      <x:c r="H205" s="20" t="str">
        <x:f>_xlfn.IFNA(VLOOKUP(_xlfn.CONCAT("T",H$1,"V",$D205,"A",$A205),Vulnerabilities!$G:$G,1,FALSE),"")</x:f>
      </x:c>
      <x:c r="I205" s="20" t="str">
        <x:f>_xlfn.IFNA(VLOOKUP(_xlfn.CONCAT("T",I$1,"V",$D205,"A",$A205),Vulnerabilities!$G:$G,1,FALSE),"")</x:f>
      </x:c>
      <x:c r="J205" s="20" t="str">
        <x:f>_xlfn.IFNA(VLOOKUP(_xlfn.CONCAT("T",J$1,"V",$D205,"A",$A205),Vulnerabilities!$G:$G,1,FALSE),"")</x:f>
      </x:c>
      <x:c r="K205" s="20" t="str">
        <x:f>_xlfn.IFNA(VLOOKUP(_xlfn.CONCAT("T",K$1,"V",$D205,"A",$A205),Vulnerabilities!$G:$G,1,FALSE),"")</x:f>
      </x:c>
      <x:c r="L205" s="20" t="str">
        <x:f>_xlfn.IFNA(VLOOKUP(_xlfn.CONCAT("T",L$1,"V",$D205,"A",$A205),Vulnerabilities!$G:$G,1,FALSE),"")</x:f>
      </x:c>
      <x:c r="M205" s="20" t="str">
        <x:f>_xlfn.IFNA(VLOOKUP(_xlfn.CONCAT("T",M$1,"V",$D205,"A",$A205),Vulnerabilities!$G:$G,1,FALSE),"")</x:f>
      </x:c>
      <x:c r="N205" s="20" t="str">
        <x:f>_xlfn.IFNA(VLOOKUP(_xlfn.CONCAT("T",N$1,"V",$D205,"A",$A205),Vulnerabilities!$G:$G,1,FALSE),"")</x:f>
      </x:c>
      <x:c r="O205" s="20" t="str">
        <x:f>_xlfn.IFNA(VLOOKUP(_xlfn.CONCAT("T",O$1,"V",$D205,"A",$A205),Vulnerabilities!$G:$G,1,FALSE),"")</x:f>
      </x:c>
      <x:c r="P205" s="16" t="str">
        <x:f>_xlfn.IFNA(VLOOKUP(_xlfn.CONCAT("T",P$1,"V",$D205,"A",$A205),Vulnerabilities!$G:$G,1,FALSE),"")</x:f>
      </x:c>
    </x:row>
    <x:row r="206">
      <x:c r="A206" s="11">
        <x:f t="shared" si="3"/>
        <x:v>51</x:v>
      </x:c>
      <x:c r="B206" s="12" t="str">
        <x:f>IF(VLOOKUP($A206,Assets!$A:$C,2,FALSE)=0,"",VLOOKUP($A206,Assets!$A:$C,2,FALSE))</x:f>
      </x:c>
      <x:c r="C206" s="12" t="str">
        <x:f>IF(VLOOKUP($A206,Assets!$A:$C,3,FALSE)=0,"",VLOOKUP($A206,Assets!$A:$C,3,FALSE))</x:f>
      </x:c>
      <x:c r="D206" s="17">
        <x:v>4</x:v>
      </x:c>
      <x:c r="E206" s="21" t="str">
        <x:f>_xlfn.IFNA(VLOOKUP(_xlfn.CONCAT("T",E$1,"V",$D206,"A",$A206),Vulnerabilities!$G:$G,1,FALSE),"")</x:f>
      </x:c>
      <x:c r="F206" s="21" t="str">
        <x:f>_xlfn.IFNA(VLOOKUP(_xlfn.CONCAT("T",F$1,"V",$D206,"A",$A206),Vulnerabilities!$G:$G,1,FALSE),"")</x:f>
      </x:c>
      <x:c r="G206" s="21" t="str">
        <x:f>_xlfn.IFNA(VLOOKUP(_xlfn.CONCAT("T",G$1,"V",$D206,"A",$A206),Vulnerabilities!$G:$G,1,FALSE),"")</x:f>
      </x:c>
      <x:c r="H206" s="21" t="str">
        <x:f>_xlfn.IFNA(VLOOKUP(_xlfn.CONCAT("T",H$1,"V",$D206,"A",$A206),Vulnerabilities!$G:$G,1,FALSE),"")</x:f>
      </x:c>
      <x:c r="I206" s="21" t="str">
        <x:f>_xlfn.IFNA(VLOOKUP(_xlfn.CONCAT("T",I$1,"V",$D206,"A",$A206),Vulnerabilities!$G:$G,1,FALSE),"")</x:f>
      </x:c>
      <x:c r="J206" s="21" t="str">
        <x:f>_xlfn.IFNA(VLOOKUP(_xlfn.CONCAT("T",J$1,"V",$D206,"A",$A206),Vulnerabilities!$G:$G,1,FALSE),"")</x:f>
      </x:c>
      <x:c r="K206" s="21" t="str">
        <x:f>_xlfn.IFNA(VLOOKUP(_xlfn.CONCAT("T",K$1,"V",$D206,"A",$A206),Vulnerabilities!$G:$G,1,FALSE),"")</x:f>
      </x:c>
      <x:c r="L206" s="21" t="str">
        <x:f>_xlfn.IFNA(VLOOKUP(_xlfn.CONCAT("T",L$1,"V",$D206,"A",$A206),Vulnerabilities!$G:$G,1,FALSE),"")</x:f>
      </x:c>
      <x:c r="M206" s="21" t="str">
        <x:f>_xlfn.IFNA(VLOOKUP(_xlfn.CONCAT("T",M$1,"V",$D206,"A",$A206),Vulnerabilities!$G:$G,1,FALSE),"")</x:f>
      </x:c>
      <x:c r="N206" s="21" t="str">
        <x:f>_xlfn.IFNA(VLOOKUP(_xlfn.CONCAT("T",N$1,"V",$D206,"A",$A206),Vulnerabilities!$G:$G,1,FALSE),"")</x:f>
      </x:c>
      <x:c r="O206" s="21" t="str">
        <x:f>_xlfn.IFNA(VLOOKUP(_xlfn.CONCAT("T",O$1,"V",$D206,"A",$A206),Vulnerabilities!$G:$G,1,FALSE),"")</x:f>
      </x:c>
      <x:c r="P206" s="17" t="str">
        <x:f>_xlfn.IFNA(VLOOKUP(_xlfn.CONCAT("T",P$1,"V",$D206,"A",$A206),Vulnerabilities!$G:$G,1,FALSE),"")</x:f>
      </x:c>
    </x:row>
    <x:row r="207">
      <x:c r="A207" s="1">
        <x:f t="shared" si="3"/>
        <x:v>52</x:v>
      </x:c>
      <x:c r="B207" t="str">
        <x:f>IF(VLOOKUP($A207,Assets!$A:$C,2,FALSE)=0,"",VLOOKUP($A207,Assets!$A:$C,2,FALSE))</x:f>
      </x:c>
      <x:c r="C207" t="str">
        <x:f>IF(VLOOKUP($A207,Assets!$A:$C,3,FALSE)=0,"",VLOOKUP($A207,Assets!$A:$C,3,FALSE))</x:f>
      </x:c>
      <x:c r="D207" s="16">
        <x:v>1</x:v>
      </x:c>
      <x:c r="E207" s="20" t="str">
        <x:f>_xlfn.IFNA(VLOOKUP(_xlfn.CONCAT("T",E$1,"V",$D207,"A",$A207),Vulnerabilities!$G:$G,1,FALSE),"")</x:f>
      </x:c>
      <x:c r="F207" s="20" t="str">
        <x:f>_xlfn.IFNA(VLOOKUP(_xlfn.CONCAT("T",F$1,"V",$D207,"A",$A207),Vulnerabilities!$G:$G,1,FALSE),"")</x:f>
      </x:c>
      <x:c r="G207" s="20" t="str">
        <x:f>_xlfn.IFNA(VLOOKUP(_xlfn.CONCAT("T",G$1,"V",$D207,"A",$A207),Vulnerabilities!$G:$G,1,FALSE),"")</x:f>
      </x:c>
      <x:c r="H207" s="20" t="str">
        <x:f>_xlfn.IFNA(VLOOKUP(_xlfn.CONCAT("T",H$1,"V",$D207,"A",$A207),Vulnerabilities!$G:$G,1,FALSE),"")</x:f>
      </x:c>
      <x:c r="I207" s="20" t="str">
        <x:f>_xlfn.IFNA(VLOOKUP(_xlfn.CONCAT("T",I$1,"V",$D207,"A",$A207),Vulnerabilities!$G:$G,1,FALSE),"")</x:f>
      </x:c>
      <x:c r="J207" s="20" t="str">
        <x:f>_xlfn.IFNA(VLOOKUP(_xlfn.CONCAT("T",J$1,"V",$D207,"A",$A207),Vulnerabilities!$G:$G,1,FALSE),"")</x:f>
      </x:c>
      <x:c r="K207" s="20" t="str">
        <x:f>_xlfn.IFNA(VLOOKUP(_xlfn.CONCAT("T",K$1,"V",$D207,"A",$A207),Vulnerabilities!$G:$G,1,FALSE),"")</x:f>
      </x:c>
      <x:c r="L207" s="20" t="str">
        <x:f>_xlfn.IFNA(VLOOKUP(_xlfn.CONCAT("T",L$1,"V",$D207,"A",$A207),Vulnerabilities!$G:$G,1,FALSE),"")</x:f>
      </x:c>
      <x:c r="M207" s="20" t="str">
        <x:f>_xlfn.IFNA(VLOOKUP(_xlfn.CONCAT("T",M$1,"V",$D207,"A",$A207),Vulnerabilities!$G:$G,1,FALSE),"")</x:f>
      </x:c>
      <x:c r="N207" s="20" t="str">
        <x:f>_xlfn.IFNA(VLOOKUP(_xlfn.CONCAT("T",N$1,"V",$D207,"A",$A207),Vulnerabilities!$G:$G,1,FALSE),"")</x:f>
      </x:c>
      <x:c r="O207" s="20" t="str">
        <x:f>_xlfn.IFNA(VLOOKUP(_xlfn.CONCAT("T",O$1,"V",$D207,"A",$A207),Vulnerabilities!$G:$G,1,FALSE),"")</x:f>
      </x:c>
      <x:c r="P207" s="16" t="str">
        <x:f>_xlfn.IFNA(VLOOKUP(_xlfn.CONCAT("T",P$1,"V",$D207,"A",$A207),Vulnerabilities!$G:$G,1,FALSE),"")</x:f>
      </x:c>
    </x:row>
    <x:row r="208">
      <x:c r="A208" s="1">
        <x:f t="shared" si="3"/>
        <x:v>52</x:v>
      </x:c>
      <x:c r="B208" t="str">
        <x:f>IF(VLOOKUP($A208,Assets!$A:$C,2,FALSE)=0,"",VLOOKUP($A208,Assets!$A:$C,2,FALSE))</x:f>
      </x:c>
      <x:c r="C208" t="str">
        <x:f>IF(VLOOKUP($A208,Assets!$A:$C,3,FALSE)=0,"",VLOOKUP($A208,Assets!$A:$C,3,FALSE))</x:f>
      </x:c>
      <x:c r="D208" s="16">
        <x:v>2</x:v>
      </x:c>
      <x:c r="E208" s="20" t="str">
        <x:f>_xlfn.IFNA(VLOOKUP(_xlfn.CONCAT("T",E$1,"V",$D208,"A",$A208),Vulnerabilities!$G:$G,1,FALSE),"")</x:f>
      </x:c>
      <x:c r="F208" s="20" t="str">
        <x:f>_xlfn.IFNA(VLOOKUP(_xlfn.CONCAT("T",F$1,"V",$D208,"A",$A208),Vulnerabilities!$G:$G,1,FALSE),"")</x:f>
      </x:c>
      <x:c r="G208" s="20" t="str">
        <x:f>_xlfn.IFNA(VLOOKUP(_xlfn.CONCAT("T",G$1,"V",$D208,"A",$A208),Vulnerabilities!$G:$G,1,FALSE),"")</x:f>
      </x:c>
      <x:c r="H208" s="20" t="str">
        <x:f>_xlfn.IFNA(VLOOKUP(_xlfn.CONCAT("T",H$1,"V",$D208,"A",$A208),Vulnerabilities!$G:$G,1,FALSE),"")</x:f>
      </x:c>
      <x:c r="I208" s="20" t="str">
        <x:f>_xlfn.IFNA(VLOOKUP(_xlfn.CONCAT("T",I$1,"V",$D208,"A",$A208),Vulnerabilities!$G:$G,1,FALSE),"")</x:f>
      </x:c>
      <x:c r="J208" s="20" t="str">
        <x:f>_xlfn.IFNA(VLOOKUP(_xlfn.CONCAT("T",J$1,"V",$D208,"A",$A208),Vulnerabilities!$G:$G,1,FALSE),"")</x:f>
      </x:c>
      <x:c r="K208" s="20" t="str">
        <x:f>_xlfn.IFNA(VLOOKUP(_xlfn.CONCAT("T",K$1,"V",$D208,"A",$A208),Vulnerabilities!$G:$G,1,FALSE),"")</x:f>
      </x:c>
      <x:c r="L208" s="20" t="str">
        <x:f>_xlfn.IFNA(VLOOKUP(_xlfn.CONCAT("T",L$1,"V",$D208,"A",$A208),Vulnerabilities!$G:$G,1,FALSE),"")</x:f>
      </x:c>
      <x:c r="M208" s="20" t="str">
        <x:f>_xlfn.IFNA(VLOOKUP(_xlfn.CONCAT("T",M$1,"V",$D208,"A",$A208),Vulnerabilities!$G:$G,1,FALSE),"")</x:f>
      </x:c>
      <x:c r="N208" s="20" t="str">
        <x:f>_xlfn.IFNA(VLOOKUP(_xlfn.CONCAT("T",N$1,"V",$D208,"A",$A208),Vulnerabilities!$G:$G,1,FALSE),"")</x:f>
      </x:c>
      <x:c r="O208" s="20" t="str">
        <x:f>_xlfn.IFNA(VLOOKUP(_xlfn.CONCAT("T",O$1,"V",$D208,"A",$A208),Vulnerabilities!$G:$G,1,FALSE),"")</x:f>
      </x:c>
      <x:c r="P208" s="16" t="str">
        <x:f>_xlfn.IFNA(VLOOKUP(_xlfn.CONCAT("T",P$1,"V",$D208,"A",$A208),Vulnerabilities!$G:$G,1,FALSE),"")</x:f>
      </x:c>
    </x:row>
    <x:row r="209">
      <x:c r="A209" s="1">
        <x:f t="shared" si="3"/>
        <x:v>52</x:v>
      </x:c>
      <x:c r="B209" t="str">
        <x:f>IF(VLOOKUP($A209,Assets!$A:$C,2,FALSE)=0,"",VLOOKUP($A209,Assets!$A:$C,2,FALSE))</x:f>
      </x:c>
      <x:c r="C209" t="str">
        <x:f>IF(VLOOKUP($A209,Assets!$A:$C,3,FALSE)=0,"",VLOOKUP($A209,Assets!$A:$C,3,FALSE))</x:f>
      </x:c>
      <x:c r="D209" s="16">
        <x:v>3</x:v>
      </x:c>
      <x:c r="E209" s="20" t="str">
        <x:f>_xlfn.IFNA(VLOOKUP(_xlfn.CONCAT("T",E$1,"V",$D209,"A",$A209),Vulnerabilities!$G:$G,1,FALSE),"")</x:f>
      </x:c>
      <x:c r="F209" s="20" t="str">
        <x:f>_xlfn.IFNA(VLOOKUP(_xlfn.CONCAT("T",F$1,"V",$D209,"A",$A209),Vulnerabilities!$G:$G,1,FALSE),"")</x:f>
      </x:c>
      <x:c r="G209" s="20" t="str">
        <x:f>_xlfn.IFNA(VLOOKUP(_xlfn.CONCAT("T",G$1,"V",$D209,"A",$A209),Vulnerabilities!$G:$G,1,FALSE),"")</x:f>
      </x:c>
      <x:c r="H209" s="20" t="str">
        <x:f>_xlfn.IFNA(VLOOKUP(_xlfn.CONCAT("T",H$1,"V",$D209,"A",$A209),Vulnerabilities!$G:$G,1,FALSE),"")</x:f>
      </x:c>
      <x:c r="I209" s="20" t="str">
        <x:f>_xlfn.IFNA(VLOOKUP(_xlfn.CONCAT("T",I$1,"V",$D209,"A",$A209),Vulnerabilities!$G:$G,1,FALSE),"")</x:f>
      </x:c>
      <x:c r="J209" s="20" t="str">
        <x:f>_xlfn.IFNA(VLOOKUP(_xlfn.CONCAT("T",J$1,"V",$D209,"A",$A209),Vulnerabilities!$G:$G,1,FALSE),"")</x:f>
      </x:c>
      <x:c r="K209" s="20" t="str">
        <x:f>_xlfn.IFNA(VLOOKUP(_xlfn.CONCAT("T",K$1,"V",$D209,"A",$A209),Vulnerabilities!$G:$G,1,FALSE),"")</x:f>
      </x:c>
      <x:c r="L209" s="20" t="str">
        <x:f>_xlfn.IFNA(VLOOKUP(_xlfn.CONCAT("T",L$1,"V",$D209,"A",$A209),Vulnerabilities!$G:$G,1,FALSE),"")</x:f>
      </x:c>
      <x:c r="M209" s="20" t="str">
        <x:f>_xlfn.IFNA(VLOOKUP(_xlfn.CONCAT("T",M$1,"V",$D209,"A",$A209),Vulnerabilities!$G:$G,1,FALSE),"")</x:f>
      </x:c>
      <x:c r="N209" s="20" t="str">
        <x:f>_xlfn.IFNA(VLOOKUP(_xlfn.CONCAT("T",N$1,"V",$D209,"A",$A209),Vulnerabilities!$G:$G,1,FALSE),"")</x:f>
      </x:c>
      <x:c r="O209" s="20" t="str">
        <x:f>_xlfn.IFNA(VLOOKUP(_xlfn.CONCAT("T",O$1,"V",$D209,"A",$A209),Vulnerabilities!$G:$G,1,FALSE),"")</x:f>
      </x:c>
      <x:c r="P209" s="16" t="str">
        <x:f>_xlfn.IFNA(VLOOKUP(_xlfn.CONCAT("T",P$1,"V",$D209,"A",$A209),Vulnerabilities!$G:$G,1,FALSE),"")</x:f>
      </x:c>
    </x:row>
    <x:row r="210">
      <x:c r="A210" s="11">
        <x:f t="shared" si="3"/>
        <x:v>52</x:v>
      </x:c>
      <x:c r="B210" s="12" t="str">
        <x:f>IF(VLOOKUP($A210,Assets!$A:$C,2,FALSE)=0,"",VLOOKUP($A210,Assets!$A:$C,2,FALSE))</x:f>
      </x:c>
      <x:c r="C210" s="12" t="str">
        <x:f>IF(VLOOKUP($A210,Assets!$A:$C,3,FALSE)=0,"",VLOOKUP($A210,Assets!$A:$C,3,FALSE))</x:f>
      </x:c>
      <x:c r="D210" s="17">
        <x:v>4</x:v>
      </x:c>
      <x:c r="E210" s="21" t="str">
        <x:f>_xlfn.IFNA(VLOOKUP(_xlfn.CONCAT("T",E$1,"V",$D210,"A",$A210),Vulnerabilities!$G:$G,1,FALSE),"")</x:f>
      </x:c>
      <x:c r="F210" s="21" t="str">
        <x:f>_xlfn.IFNA(VLOOKUP(_xlfn.CONCAT("T",F$1,"V",$D210,"A",$A210),Vulnerabilities!$G:$G,1,FALSE),"")</x:f>
      </x:c>
      <x:c r="G210" s="21" t="str">
        <x:f>_xlfn.IFNA(VLOOKUP(_xlfn.CONCAT("T",G$1,"V",$D210,"A",$A210),Vulnerabilities!$G:$G,1,FALSE),"")</x:f>
      </x:c>
      <x:c r="H210" s="21" t="str">
        <x:f>_xlfn.IFNA(VLOOKUP(_xlfn.CONCAT("T",H$1,"V",$D210,"A",$A210),Vulnerabilities!$G:$G,1,FALSE),"")</x:f>
      </x:c>
      <x:c r="I210" s="21" t="str">
        <x:f>_xlfn.IFNA(VLOOKUP(_xlfn.CONCAT("T",I$1,"V",$D210,"A",$A210),Vulnerabilities!$G:$G,1,FALSE),"")</x:f>
      </x:c>
      <x:c r="J210" s="21" t="str">
        <x:f>_xlfn.IFNA(VLOOKUP(_xlfn.CONCAT("T",J$1,"V",$D210,"A",$A210),Vulnerabilities!$G:$G,1,FALSE),"")</x:f>
      </x:c>
      <x:c r="K210" s="21" t="str">
        <x:f>_xlfn.IFNA(VLOOKUP(_xlfn.CONCAT("T",K$1,"V",$D210,"A",$A210),Vulnerabilities!$G:$G,1,FALSE),"")</x:f>
      </x:c>
      <x:c r="L210" s="21" t="str">
        <x:f>_xlfn.IFNA(VLOOKUP(_xlfn.CONCAT("T",L$1,"V",$D210,"A",$A210),Vulnerabilities!$G:$G,1,FALSE),"")</x:f>
      </x:c>
      <x:c r="M210" s="21" t="str">
        <x:f>_xlfn.IFNA(VLOOKUP(_xlfn.CONCAT("T",M$1,"V",$D210,"A",$A210),Vulnerabilities!$G:$G,1,FALSE),"")</x:f>
      </x:c>
      <x:c r="N210" s="21" t="str">
        <x:f>_xlfn.IFNA(VLOOKUP(_xlfn.CONCAT("T",N$1,"V",$D210,"A",$A210),Vulnerabilities!$G:$G,1,FALSE),"")</x:f>
      </x:c>
      <x:c r="O210" s="21" t="str">
        <x:f>_xlfn.IFNA(VLOOKUP(_xlfn.CONCAT("T",O$1,"V",$D210,"A",$A210),Vulnerabilities!$G:$G,1,FALSE),"")</x:f>
      </x:c>
      <x:c r="P210" s="17" t="str">
        <x:f>_xlfn.IFNA(VLOOKUP(_xlfn.CONCAT("T",P$1,"V",$D210,"A",$A210),Vulnerabilities!$G:$G,1,FALSE),"")</x:f>
      </x:c>
    </x:row>
    <x:row r="211">
      <x:c r="A211" s="1">
        <x:f t="shared" si="3"/>
        <x:v>53</x:v>
      </x:c>
      <x:c r="B211" t="str">
        <x:f>IF(VLOOKUP($A211,Assets!$A:$C,2,FALSE)=0,"",VLOOKUP($A211,Assets!$A:$C,2,FALSE))</x:f>
      </x:c>
      <x:c r="C211" t="str">
        <x:f>IF(VLOOKUP($A211,Assets!$A:$C,3,FALSE)=0,"",VLOOKUP($A211,Assets!$A:$C,3,FALSE))</x:f>
      </x:c>
      <x:c r="D211" s="16">
        <x:v>1</x:v>
      </x:c>
      <x:c r="E211" s="20" t="str">
        <x:f>_xlfn.IFNA(VLOOKUP(_xlfn.CONCAT("T",E$1,"V",$D211,"A",$A211),Vulnerabilities!$G:$G,1,FALSE),"")</x:f>
      </x:c>
      <x:c r="F211" s="20" t="str">
        <x:f>_xlfn.IFNA(VLOOKUP(_xlfn.CONCAT("T",F$1,"V",$D211,"A",$A211),Vulnerabilities!$G:$G,1,FALSE),"")</x:f>
      </x:c>
      <x:c r="G211" s="20" t="str">
        <x:f>_xlfn.IFNA(VLOOKUP(_xlfn.CONCAT("T",G$1,"V",$D211,"A",$A211),Vulnerabilities!$G:$G,1,FALSE),"")</x:f>
      </x:c>
      <x:c r="H211" s="20" t="str">
        <x:f>_xlfn.IFNA(VLOOKUP(_xlfn.CONCAT("T",H$1,"V",$D211,"A",$A211),Vulnerabilities!$G:$G,1,FALSE),"")</x:f>
      </x:c>
      <x:c r="I211" s="20" t="str">
        <x:f>_xlfn.IFNA(VLOOKUP(_xlfn.CONCAT("T",I$1,"V",$D211,"A",$A211),Vulnerabilities!$G:$G,1,FALSE),"")</x:f>
      </x:c>
      <x:c r="J211" s="20" t="str">
        <x:f>_xlfn.IFNA(VLOOKUP(_xlfn.CONCAT("T",J$1,"V",$D211,"A",$A211),Vulnerabilities!$G:$G,1,FALSE),"")</x:f>
      </x:c>
      <x:c r="K211" s="20" t="str">
        <x:f>_xlfn.IFNA(VLOOKUP(_xlfn.CONCAT("T",K$1,"V",$D211,"A",$A211),Vulnerabilities!$G:$G,1,FALSE),"")</x:f>
      </x:c>
      <x:c r="L211" s="20" t="str">
        <x:f>_xlfn.IFNA(VLOOKUP(_xlfn.CONCAT("T",L$1,"V",$D211,"A",$A211),Vulnerabilities!$G:$G,1,FALSE),"")</x:f>
      </x:c>
      <x:c r="M211" s="20" t="str">
        <x:f>_xlfn.IFNA(VLOOKUP(_xlfn.CONCAT("T",M$1,"V",$D211,"A",$A211),Vulnerabilities!$G:$G,1,FALSE),"")</x:f>
      </x:c>
      <x:c r="N211" s="20" t="str">
        <x:f>_xlfn.IFNA(VLOOKUP(_xlfn.CONCAT("T",N$1,"V",$D211,"A",$A211),Vulnerabilities!$G:$G,1,FALSE),"")</x:f>
      </x:c>
      <x:c r="O211" s="20" t="str">
        <x:f>_xlfn.IFNA(VLOOKUP(_xlfn.CONCAT("T",O$1,"V",$D211,"A",$A211),Vulnerabilities!$G:$G,1,FALSE),"")</x:f>
      </x:c>
      <x:c r="P211" s="16" t="str">
        <x:f>_xlfn.IFNA(VLOOKUP(_xlfn.CONCAT("T",P$1,"V",$D211,"A",$A211),Vulnerabilities!$G:$G,1,FALSE),"")</x:f>
      </x:c>
    </x:row>
    <x:row r="212">
      <x:c r="A212" s="1">
        <x:f t="shared" si="3"/>
        <x:v>53</x:v>
      </x:c>
      <x:c r="B212" t="str">
        <x:f>IF(VLOOKUP($A212,Assets!$A:$C,2,FALSE)=0,"",VLOOKUP($A212,Assets!$A:$C,2,FALSE))</x:f>
      </x:c>
      <x:c r="C212" t="str">
        <x:f>IF(VLOOKUP($A212,Assets!$A:$C,3,FALSE)=0,"",VLOOKUP($A212,Assets!$A:$C,3,FALSE))</x:f>
      </x:c>
      <x:c r="D212" s="16">
        <x:v>2</x:v>
      </x:c>
      <x:c r="E212" s="20" t="str">
        <x:f>_xlfn.IFNA(VLOOKUP(_xlfn.CONCAT("T",E$1,"V",$D212,"A",$A212),Vulnerabilities!$G:$G,1,FALSE),"")</x:f>
      </x:c>
      <x:c r="F212" s="20" t="str">
        <x:f>_xlfn.IFNA(VLOOKUP(_xlfn.CONCAT("T",F$1,"V",$D212,"A",$A212),Vulnerabilities!$G:$G,1,FALSE),"")</x:f>
      </x:c>
      <x:c r="G212" s="20" t="str">
        <x:f>_xlfn.IFNA(VLOOKUP(_xlfn.CONCAT("T",G$1,"V",$D212,"A",$A212),Vulnerabilities!$G:$G,1,FALSE),"")</x:f>
      </x:c>
      <x:c r="H212" s="20" t="str">
        <x:f>_xlfn.IFNA(VLOOKUP(_xlfn.CONCAT("T",H$1,"V",$D212,"A",$A212),Vulnerabilities!$G:$G,1,FALSE),"")</x:f>
      </x:c>
      <x:c r="I212" s="20" t="str">
        <x:f>_xlfn.IFNA(VLOOKUP(_xlfn.CONCAT("T",I$1,"V",$D212,"A",$A212),Vulnerabilities!$G:$G,1,FALSE),"")</x:f>
      </x:c>
      <x:c r="J212" s="20" t="str">
        <x:f>_xlfn.IFNA(VLOOKUP(_xlfn.CONCAT("T",J$1,"V",$D212,"A",$A212),Vulnerabilities!$G:$G,1,FALSE),"")</x:f>
      </x:c>
      <x:c r="K212" s="20" t="str">
        <x:f>_xlfn.IFNA(VLOOKUP(_xlfn.CONCAT("T",K$1,"V",$D212,"A",$A212),Vulnerabilities!$G:$G,1,FALSE),"")</x:f>
      </x:c>
      <x:c r="L212" s="20" t="str">
        <x:f>_xlfn.IFNA(VLOOKUP(_xlfn.CONCAT("T",L$1,"V",$D212,"A",$A212),Vulnerabilities!$G:$G,1,FALSE),"")</x:f>
      </x:c>
      <x:c r="M212" s="20" t="str">
        <x:f>_xlfn.IFNA(VLOOKUP(_xlfn.CONCAT("T",M$1,"V",$D212,"A",$A212),Vulnerabilities!$G:$G,1,FALSE),"")</x:f>
      </x:c>
      <x:c r="N212" s="20" t="str">
        <x:f>_xlfn.IFNA(VLOOKUP(_xlfn.CONCAT("T",N$1,"V",$D212,"A",$A212),Vulnerabilities!$G:$G,1,FALSE),"")</x:f>
      </x:c>
      <x:c r="O212" s="20" t="str">
        <x:f>_xlfn.IFNA(VLOOKUP(_xlfn.CONCAT("T",O$1,"V",$D212,"A",$A212),Vulnerabilities!$G:$G,1,FALSE),"")</x:f>
      </x:c>
      <x:c r="P212" s="16" t="str">
        <x:f>_xlfn.IFNA(VLOOKUP(_xlfn.CONCAT("T",P$1,"V",$D212,"A",$A212),Vulnerabilities!$G:$G,1,FALSE),"")</x:f>
      </x:c>
    </x:row>
    <x:row r="213">
      <x:c r="A213" s="1">
        <x:f t="shared" si="3"/>
        <x:v>53</x:v>
      </x:c>
      <x:c r="B213" t="str">
        <x:f>IF(VLOOKUP($A213,Assets!$A:$C,2,FALSE)=0,"",VLOOKUP($A213,Assets!$A:$C,2,FALSE))</x:f>
      </x:c>
      <x:c r="C213" t="str">
        <x:f>IF(VLOOKUP($A213,Assets!$A:$C,3,FALSE)=0,"",VLOOKUP($A213,Assets!$A:$C,3,FALSE))</x:f>
      </x:c>
      <x:c r="D213" s="16">
        <x:v>3</x:v>
      </x:c>
      <x:c r="E213" s="20" t="str">
        <x:f>_xlfn.IFNA(VLOOKUP(_xlfn.CONCAT("T",E$1,"V",$D213,"A",$A213),Vulnerabilities!$G:$G,1,FALSE),"")</x:f>
      </x:c>
      <x:c r="F213" s="20" t="str">
        <x:f>_xlfn.IFNA(VLOOKUP(_xlfn.CONCAT("T",F$1,"V",$D213,"A",$A213),Vulnerabilities!$G:$G,1,FALSE),"")</x:f>
      </x:c>
      <x:c r="G213" s="20" t="str">
        <x:f>_xlfn.IFNA(VLOOKUP(_xlfn.CONCAT("T",G$1,"V",$D213,"A",$A213),Vulnerabilities!$G:$G,1,FALSE),"")</x:f>
      </x:c>
      <x:c r="H213" s="20" t="str">
        <x:f>_xlfn.IFNA(VLOOKUP(_xlfn.CONCAT("T",H$1,"V",$D213,"A",$A213),Vulnerabilities!$G:$G,1,FALSE),"")</x:f>
      </x:c>
      <x:c r="I213" s="20" t="str">
        <x:f>_xlfn.IFNA(VLOOKUP(_xlfn.CONCAT("T",I$1,"V",$D213,"A",$A213),Vulnerabilities!$G:$G,1,FALSE),"")</x:f>
      </x:c>
      <x:c r="J213" s="20" t="str">
        <x:f>_xlfn.IFNA(VLOOKUP(_xlfn.CONCAT("T",J$1,"V",$D213,"A",$A213),Vulnerabilities!$G:$G,1,FALSE),"")</x:f>
      </x:c>
      <x:c r="K213" s="20" t="str">
        <x:f>_xlfn.IFNA(VLOOKUP(_xlfn.CONCAT("T",K$1,"V",$D213,"A",$A213),Vulnerabilities!$G:$G,1,FALSE),"")</x:f>
      </x:c>
      <x:c r="L213" s="20" t="str">
        <x:f>_xlfn.IFNA(VLOOKUP(_xlfn.CONCAT("T",L$1,"V",$D213,"A",$A213),Vulnerabilities!$G:$G,1,FALSE),"")</x:f>
      </x:c>
      <x:c r="M213" s="20" t="str">
        <x:f>_xlfn.IFNA(VLOOKUP(_xlfn.CONCAT("T",M$1,"V",$D213,"A",$A213),Vulnerabilities!$G:$G,1,FALSE),"")</x:f>
      </x:c>
      <x:c r="N213" s="20" t="str">
        <x:f>_xlfn.IFNA(VLOOKUP(_xlfn.CONCAT("T",N$1,"V",$D213,"A",$A213),Vulnerabilities!$G:$G,1,FALSE),"")</x:f>
      </x:c>
      <x:c r="O213" s="20" t="str">
        <x:f>_xlfn.IFNA(VLOOKUP(_xlfn.CONCAT("T",O$1,"V",$D213,"A",$A213),Vulnerabilities!$G:$G,1,FALSE),"")</x:f>
      </x:c>
      <x:c r="P213" s="16" t="str">
        <x:f>_xlfn.IFNA(VLOOKUP(_xlfn.CONCAT("T",P$1,"V",$D213,"A",$A213),Vulnerabilities!$G:$G,1,FALSE),"")</x:f>
      </x:c>
    </x:row>
    <x:row r="214">
      <x:c r="A214" s="11">
        <x:f t="shared" si="3"/>
        <x:v>53</x:v>
      </x:c>
      <x:c r="B214" s="12" t="str">
        <x:f>IF(VLOOKUP($A214,Assets!$A:$C,2,FALSE)=0,"",VLOOKUP($A214,Assets!$A:$C,2,FALSE))</x:f>
      </x:c>
      <x:c r="C214" s="12" t="str">
        <x:f>IF(VLOOKUP($A214,Assets!$A:$C,3,FALSE)=0,"",VLOOKUP($A214,Assets!$A:$C,3,FALSE))</x:f>
      </x:c>
      <x:c r="D214" s="17">
        <x:v>4</x:v>
      </x:c>
      <x:c r="E214" s="21" t="str">
        <x:f>_xlfn.IFNA(VLOOKUP(_xlfn.CONCAT("T",E$1,"V",$D214,"A",$A214),Vulnerabilities!$G:$G,1,FALSE),"")</x:f>
      </x:c>
      <x:c r="F214" s="21" t="str">
        <x:f>_xlfn.IFNA(VLOOKUP(_xlfn.CONCAT("T",F$1,"V",$D214,"A",$A214),Vulnerabilities!$G:$G,1,FALSE),"")</x:f>
      </x:c>
      <x:c r="G214" s="21" t="str">
        <x:f>_xlfn.IFNA(VLOOKUP(_xlfn.CONCAT("T",G$1,"V",$D214,"A",$A214),Vulnerabilities!$G:$G,1,FALSE),"")</x:f>
      </x:c>
      <x:c r="H214" s="21" t="str">
        <x:f>_xlfn.IFNA(VLOOKUP(_xlfn.CONCAT("T",H$1,"V",$D214,"A",$A214),Vulnerabilities!$G:$G,1,FALSE),"")</x:f>
      </x:c>
      <x:c r="I214" s="21" t="str">
        <x:f>_xlfn.IFNA(VLOOKUP(_xlfn.CONCAT("T",I$1,"V",$D214,"A",$A214),Vulnerabilities!$G:$G,1,FALSE),"")</x:f>
      </x:c>
      <x:c r="J214" s="21" t="str">
        <x:f>_xlfn.IFNA(VLOOKUP(_xlfn.CONCAT("T",J$1,"V",$D214,"A",$A214),Vulnerabilities!$G:$G,1,FALSE),"")</x:f>
      </x:c>
      <x:c r="K214" s="21" t="str">
        <x:f>_xlfn.IFNA(VLOOKUP(_xlfn.CONCAT("T",K$1,"V",$D214,"A",$A214),Vulnerabilities!$G:$G,1,FALSE),"")</x:f>
      </x:c>
      <x:c r="L214" s="21" t="str">
        <x:f>_xlfn.IFNA(VLOOKUP(_xlfn.CONCAT("T",L$1,"V",$D214,"A",$A214),Vulnerabilities!$G:$G,1,FALSE),"")</x:f>
      </x:c>
      <x:c r="M214" s="21" t="str">
        <x:f>_xlfn.IFNA(VLOOKUP(_xlfn.CONCAT("T",M$1,"V",$D214,"A",$A214),Vulnerabilities!$G:$G,1,FALSE),"")</x:f>
      </x:c>
      <x:c r="N214" s="21" t="str">
        <x:f>_xlfn.IFNA(VLOOKUP(_xlfn.CONCAT("T",N$1,"V",$D214,"A",$A214),Vulnerabilities!$G:$G,1,FALSE),"")</x:f>
      </x:c>
      <x:c r="O214" s="21" t="str">
        <x:f>_xlfn.IFNA(VLOOKUP(_xlfn.CONCAT("T",O$1,"V",$D214,"A",$A214),Vulnerabilities!$G:$G,1,FALSE),"")</x:f>
      </x:c>
      <x:c r="P214" s="17" t="str">
        <x:f>_xlfn.IFNA(VLOOKUP(_xlfn.CONCAT("T",P$1,"V",$D214,"A",$A214),Vulnerabilities!$G:$G,1,FALSE),"")</x:f>
      </x:c>
    </x:row>
    <x:row r="215">
      <x:c r="A215" s="1">
        <x:f t="shared" si="3"/>
        <x:v>54</x:v>
      </x:c>
      <x:c r="B215" t="str">
        <x:f>IF(VLOOKUP($A215,Assets!$A:$C,2,FALSE)=0,"",VLOOKUP($A215,Assets!$A:$C,2,FALSE))</x:f>
      </x:c>
      <x:c r="C215" t="str">
        <x:f>IF(VLOOKUP($A215,Assets!$A:$C,3,FALSE)=0,"",VLOOKUP($A215,Assets!$A:$C,3,FALSE))</x:f>
      </x:c>
      <x:c r="D215" s="16">
        <x:v>1</x:v>
      </x:c>
      <x:c r="E215" s="20" t="str">
        <x:f>_xlfn.IFNA(VLOOKUP(_xlfn.CONCAT("T",E$1,"V",$D215,"A",$A215),Vulnerabilities!$G:$G,1,FALSE),"")</x:f>
      </x:c>
      <x:c r="F215" s="20" t="str">
        <x:f>_xlfn.IFNA(VLOOKUP(_xlfn.CONCAT("T",F$1,"V",$D215,"A",$A215),Vulnerabilities!$G:$G,1,FALSE),"")</x:f>
      </x:c>
      <x:c r="G215" s="20" t="str">
        <x:f>_xlfn.IFNA(VLOOKUP(_xlfn.CONCAT("T",G$1,"V",$D215,"A",$A215),Vulnerabilities!$G:$G,1,FALSE),"")</x:f>
      </x:c>
      <x:c r="H215" s="20" t="str">
        <x:f>_xlfn.IFNA(VLOOKUP(_xlfn.CONCAT("T",H$1,"V",$D215,"A",$A215),Vulnerabilities!$G:$G,1,FALSE),"")</x:f>
      </x:c>
      <x:c r="I215" s="20" t="str">
        <x:f>_xlfn.IFNA(VLOOKUP(_xlfn.CONCAT("T",I$1,"V",$D215,"A",$A215),Vulnerabilities!$G:$G,1,FALSE),"")</x:f>
      </x:c>
      <x:c r="J215" s="20" t="str">
        <x:f>_xlfn.IFNA(VLOOKUP(_xlfn.CONCAT("T",J$1,"V",$D215,"A",$A215),Vulnerabilities!$G:$G,1,FALSE),"")</x:f>
      </x:c>
      <x:c r="K215" s="20" t="str">
        <x:f>_xlfn.IFNA(VLOOKUP(_xlfn.CONCAT("T",K$1,"V",$D215,"A",$A215),Vulnerabilities!$G:$G,1,FALSE),"")</x:f>
      </x:c>
      <x:c r="L215" s="20" t="str">
        <x:f>_xlfn.IFNA(VLOOKUP(_xlfn.CONCAT("T",L$1,"V",$D215,"A",$A215),Vulnerabilities!$G:$G,1,FALSE),"")</x:f>
      </x:c>
      <x:c r="M215" s="20" t="str">
        <x:f>_xlfn.IFNA(VLOOKUP(_xlfn.CONCAT("T",M$1,"V",$D215,"A",$A215),Vulnerabilities!$G:$G,1,FALSE),"")</x:f>
      </x:c>
      <x:c r="N215" s="20" t="str">
        <x:f>_xlfn.IFNA(VLOOKUP(_xlfn.CONCAT("T",N$1,"V",$D215,"A",$A215),Vulnerabilities!$G:$G,1,FALSE),"")</x:f>
      </x:c>
      <x:c r="O215" s="20" t="str">
        <x:f>_xlfn.IFNA(VLOOKUP(_xlfn.CONCAT("T",O$1,"V",$D215,"A",$A215),Vulnerabilities!$G:$G,1,FALSE),"")</x:f>
      </x:c>
      <x:c r="P215" s="16" t="str">
        <x:f>_xlfn.IFNA(VLOOKUP(_xlfn.CONCAT("T",P$1,"V",$D215,"A",$A215),Vulnerabilities!$G:$G,1,FALSE),"")</x:f>
      </x:c>
    </x:row>
    <x:row r="216">
      <x:c r="A216" s="1">
        <x:f t="shared" si="3"/>
        <x:v>54</x:v>
      </x:c>
      <x:c r="B216" t="str">
        <x:f>IF(VLOOKUP($A216,Assets!$A:$C,2,FALSE)=0,"",VLOOKUP($A216,Assets!$A:$C,2,FALSE))</x:f>
      </x:c>
      <x:c r="C216" t="str">
        <x:f>IF(VLOOKUP($A216,Assets!$A:$C,3,FALSE)=0,"",VLOOKUP($A216,Assets!$A:$C,3,FALSE))</x:f>
      </x:c>
      <x:c r="D216" s="16">
        <x:v>2</x:v>
      </x:c>
      <x:c r="E216" s="20" t="str">
        <x:f>_xlfn.IFNA(VLOOKUP(_xlfn.CONCAT("T",E$1,"V",$D216,"A",$A216),Vulnerabilities!$G:$G,1,FALSE),"")</x:f>
      </x:c>
      <x:c r="F216" s="20" t="str">
        <x:f>_xlfn.IFNA(VLOOKUP(_xlfn.CONCAT("T",F$1,"V",$D216,"A",$A216),Vulnerabilities!$G:$G,1,FALSE),"")</x:f>
      </x:c>
      <x:c r="G216" s="20" t="str">
        <x:f>_xlfn.IFNA(VLOOKUP(_xlfn.CONCAT("T",G$1,"V",$D216,"A",$A216),Vulnerabilities!$G:$G,1,FALSE),"")</x:f>
      </x:c>
      <x:c r="H216" s="20" t="str">
        <x:f>_xlfn.IFNA(VLOOKUP(_xlfn.CONCAT("T",H$1,"V",$D216,"A",$A216),Vulnerabilities!$G:$G,1,FALSE),"")</x:f>
      </x:c>
      <x:c r="I216" s="20" t="str">
        <x:f>_xlfn.IFNA(VLOOKUP(_xlfn.CONCAT("T",I$1,"V",$D216,"A",$A216),Vulnerabilities!$G:$G,1,FALSE),"")</x:f>
      </x:c>
      <x:c r="J216" s="20" t="str">
        <x:f>_xlfn.IFNA(VLOOKUP(_xlfn.CONCAT("T",J$1,"V",$D216,"A",$A216),Vulnerabilities!$G:$G,1,FALSE),"")</x:f>
      </x:c>
      <x:c r="K216" s="20" t="str">
        <x:f>_xlfn.IFNA(VLOOKUP(_xlfn.CONCAT("T",K$1,"V",$D216,"A",$A216),Vulnerabilities!$G:$G,1,FALSE),"")</x:f>
      </x:c>
      <x:c r="L216" s="20" t="str">
        <x:f>_xlfn.IFNA(VLOOKUP(_xlfn.CONCAT("T",L$1,"V",$D216,"A",$A216),Vulnerabilities!$G:$G,1,FALSE),"")</x:f>
      </x:c>
      <x:c r="M216" s="20" t="str">
        <x:f>_xlfn.IFNA(VLOOKUP(_xlfn.CONCAT("T",M$1,"V",$D216,"A",$A216),Vulnerabilities!$G:$G,1,FALSE),"")</x:f>
      </x:c>
      <x:c r="N216" s="20" t="str">
        <x:f>_xlfn.IFNA(VLOOKUP(_xlfn.CONCAT("T",N$1,"V",$D216,"A",$A216),Vulnerabilities!$G:$G,1,FALSE),"")</x:f>
      </x:c>
      <x:c r="O216" s="20" t="str">
        <x:f>_xlfn.IFNA(VLOOKUP(_xlfn.CONCAT("T",O$1,"V",$D216,"A",$A216),Vulnerabilities!$G:$G,1,FALSE),"")</x:f>
      </x:c>
      <x:c r="P216" s="16" t="str">
        <x:f>_xlfn.IFNA(VLOOKUP(_xlfn.CONCAT("T",P$1,"V",$D216,"A",$A216),Vulnerabilities!$G:$G,1,FALSE),"")</x:f>
      </x:c>
    </x:row>
    <x:row r="217">
      <x:c r="A217" s="1">
        <x:f t="shared" si="3"/>
        <x:v>54</x:v>
      </x:c>
      <x:c r="B217" t="str">
        <x:f>IF(VLOOKUP($A217,Assets!$A:$C,2,FALSE)=0,"",VLOOKUP($A217,Assets!$A:$C,2,FALSE))</x:f>
      </x:c>
      <x:c r="C217" t="str">
        <x:f>IF(VLOOKUP($A217,Assets!$A:$C,3,FALSE)=0,"",VLOOKUP($A217,Assets!$A:$C,3,FALSE))</x:f>
      </x:c>
      <x:c r="D217" s="16">
        <x:v>3</x:v>
      </x:c>
      <x:c r="E217" s="20" t="str">
        <x:f>_xlfn.IFNA(VLOOKUP(_xlfn.CONCAT("T",E$1,"V",$D217,"A",$A217),Vulnerabilities!$G:$G,1,FALSE),"")</x:f>
      </x:c>
      <x:c r="F217" s="20" t="str">
        <x:f>_xlfn.IFNA(VLOOKUP(_xlfn.CONCAT("T",F$1,"V",$D217,"A",$A217),Vulnerabilities!$G:$G,1,FALSE),"")</x:f>
      </x:c>
      <x:c r="G217" s="20" t="str">
        <x:f>_xlfn.IFNA(VLOOKUP(_xlfn.CONCAT("T",G$1,"V",$D217,"A",$A217),Vulnerabilities!$G:$G,1,FALSE),"")</x:f>
      </x:c>
      <x:c r="H217" s="20" t="str">
        <x:f>_xlfn.IFNA(VLOOKUP(_xlfn.CONCAT("T",H$1,"V",$D217,"A",$A217),Vulnerabilities!$G:$G,1,FALSE),"")</x:f>
      </x:c>
      <x:c r="I217" s="20" t="str">
        <x:f>_xlfn.IFNA(VLOOKUP(_xlfn.CONCAT("T",I$1,"V",$D217,"A",$A217),Vulnerabilities!$G:$G,1,FALSE),"")</x:f>
      </x:c>
      <x:c r="J217" s="20" t="str">
        <x:f>_xlfn.IFNA(VLOOKUP(_xlfn.CONCAT("T",J$1,"V",$D217,"A",$A217),Vulnerabilities!$G:$G,1,FALSE),"")</x:f>
      </x:c>
      <x:c r="K217" s="20" t="str">
        <x:f>_xlfn.IFNA(VLOOKUP(_xlfn.CONCAT("T",K$1,"V",$D217,"A",$A217),Vulnerabilities!$G:$G,1,FALSE),"")</x:f>
      </x:c>
      <x:c r="L217" s="20" t="str">
        <x:f>_xlfn.IFNA(VLOOKUP(_xlfn.CONCAT("T",L$1,"V",$D217,"A",$A217),Vulnerabilities!$G:$G,1,FALSE),"")</x:f>
      </x:c>
      <x:c r="M217" s="20" t="str">
        <x:f>_xlfn.IFNA(VLOOKUP(_xlfn.CONCAT("T",M$1,"V",$D217,"A",$A217),Vulnerabilities!$G:$G,1,FALSE),"")</x:f>
      </x:c>
      <x:c r="N217" s="20" t="str">
        <x:f>_xlfn.IFNA(VLOOKUP(_xlfn.CONCAT("T",N$1,"V",$D217,"A",$A217),Vulnerabilities!$G:$G,1,FALSE),"")</x:f>
      </x:c>
      <x:c r="O217" s="20" t="str">
        <x:f>_xlfn.IFNA(VLOOKUP(_xlfn.CONCAT("T",O$1,"V",$D217,"A",$A217),Vulnerabilities!$G:$G,1,FALSE),"")</x:f>
      </x:c>
      <x:c r="P217" s="16" t="str">
        <x:f>_xlfn.IFNA(VLOOKUP(_xlfn.CONCAT("T",P$1,"V",$D217,"A",$A217),Vulnerabilities!$G:$G,1,FALSE),"")</x:f>
      </x:c>
    </x:row>
    <x:row r="218">
      <x:c r="A218" s="11">
        <x:f t="shared" si="3"/>
        <x:v>54</x:v>
      </x:c>
      <x:c r="B218" s="12" t="str">
        <x:f>IF(VLOOKUP($A218,Assets!$A:$C,2,FALSE)=0,"",VLOOKUP($A218,Assets!$A:$C,2,FALSE))</x:f>
      </x:c>
      <x:c r="C218" s="12" t="str">
        <x:f>IF(VLOOKUP($A218,Assets!$A:$C,3,FALSE)=0,"",VLOOKUP($A218,Assets!$A:$C,3,FALSE))</x:f>
      </x:c>
      <x:c r="D218" s="17">
        <x:v>4</x:v>
      </x:c>
      <x:c r="E218" s="21" t="str">
        <x:f>_xlfn.IFNA(VLOOKUP(_xlfn.CONCAT("T",E$1,"V",$D218,"A",$A218),Vulnerabilities!$G:$G,1,FALSE),"")</x:f>
      </x:c>
      <x:c r="F218" s="21" t="str">
        <x:f>_xlfn.IFNA(VLOOKUP(_xlfn.CONCAT("T",F$1,"V",$D218,"A",$A218),Vulnerabilities!$G:$G,1,FALSE),"")</x:f>
      </x:c>
      <x:c r="G218" s="21" t="str">
        <x:f>_xlfn.IFNA(VLOOKUP(_xlfn.CONCAT("T",G$1,"V",$D218,"A",$A218),Vulnerabilities!$G:$G,1,FALSE),"")</x:f>
      </x:c>
      <x:c r="H218" s="21" t="str">
        <x:f>_xlfn.IFNA(VLOOKUP(_xlfn.CONCAT("T",H$1,"V",$D218,"A",$A218),Vulnerabilities!$G:$G,1,FALSE),"")</x:f>
      </x:c>
      <x:c r="I218" s="21" t="str">
        <x:f>_xlfn.IFNA(VLOOKUP(_xlfn.CONCAT("T",I$1,"V",$D218,"A",$A218),Vulnerabilities!$G:$G,1,FALSE),"")</x:f>
      </x:c>
      <x:c r="J218" s="21" t="str">
        <x:f>_xlfn.IFNA(VLOOKUP(_xlfn.CONCAT("T",J$1,"V",$D218,"A",$A218),Vulnerabilities!$G:$G,1,FALSE),"")</x:f>
      </x:c>
      <x:c r="K218" s="21" t="str">
        <x:f>_xlfn.IFNA(VLOOKUP(_xlfn.CONCAT("T",K$1,"V",$D218,"A",$A218),Vulnerabilities!$G:$G,1,FALSE),"")</x:f>
      </x:c>
      <x:c r="L218" s="21" t="str">
        <x:f>_xlfn.IFNA(VLOOKUP(_xlfn.CONCAT("T",L$1,"V",$D218,"A",$A218),Vulnerabilities!$G:$G,1,FALSE),"")</x:f>
      </x:c>
      <x:c r="M218" s="21" t="str">
        <x:f>_xlfn.IFNA(VLOOKUP(_xlfn.CONCAT("T",M$1,"V",$D218,"A",$A218),Vulnerabilities!$G:$G,1,FALSE),"")</x:f>
      </x:c>
      <x:c r="N218" s="21" t="str">
        <x:f>_xlfn.IFNA(VLOOKUP(_xlfn.CONCAT("T",N$1,"V",$D218,"A",$A218),Vulnerabilities!$G:$G,1,FALSE),"")</x:f>
      </x:c>
      <x:c r="O218" s="21" t="str">
        <x:f>_xlfn.IFNA(VLOOKUP(_xlfn.CONCAT("T",O$1,"V",$D218,"A",$A218),Vulnerabilities!$G:$G,1,FALSE),"")</x:f>
      </x:c>
      <x:c r="P218" s="17" t="str">
        <x:f>_xlfn.IFNA(VLOOKUP(_xlfn.CONCAT("T",P$1,"V",$D218,"A",$A218),Vulnerabilities!$G:$G,1,FALSE),"")</x:f>
      </x:c>
    </x:row>
    <x:row r="219">
      <x:c r="A219" s="1" t="n">
        <x:f t="shared" ref="A219:A282" si="4">A215+1</x:f>
        <x:v>55</x:v>
      </x:c>
      <x:c r="B219" t="str">
        <x:f>IF(VLOOKUP($A219,Assets!$A:$C,2,FALSE)=0,"",VLOOKUP($A219,Assets!$A:$C,2,FALSE))</x:f>
      </x:c>
      <x:c r="C219" t="str">
        <x:f>IF(VLOOKUP($A219,Assets!$A:$C,3,FALSE)=0,"",VLOOKUP($A219,Assets!$A:$C,3,FALSE))</x:f>
      </x:c>
      <x:c r="D219" s="16">
        <x:v>1</x:v>
      </x:c>
      <x:c r="E219" s="20" t="str">
        <x:f>_xlfn.IFNA(VLOOKUP(_xlfn.CONCAT("T",E$1,"V",$D219,"A",$A219),Vulnerabilities!$G:$G,1,FALSE),"")</x:f>
      </x:c>
      <x:c r="F219" s="20" t="str">
        <x:f>_xlfn.IFNA(VLOOKUP(_xlfn.CONCAT("T",F$1,"V",$D219,"A",$A219),Vulnerabilities!$G:$G,1,FALSE),"")</x:f>
      </x:c>
      <x:c r="G219" s="20" t="str">
        <x:f>_xlfn.IFNA(VLOOKUP(_xlfn.CONCAT("T",G$1,"V",$D219,"A",$A219),Vulnerabilities!$G:$G,1,FALSE),"")</x:f>
      </x:c>
      <x:c r="H219" s="20" t="str">
        <x:f>_xlfn.IFNA(VLOOKUP(_xlfn.CONCAT("T",H$1,"V",$D219,"A",$A219),Vulnerabilities!$G:$G,1,FALSE),"")</x:f>
      </x:c>
      <x:c r="I219" s="20" t="str">
        <x:f>_xlfn.IFNA(VLOOKUP(_xlfn.CONCAT("T",I$1,"V",$D219,"A",$A219),Vulnerabilities!$G:$G,1,FALSE),"")</x:f>
      </x:c>
      <x:c r="J219" s="20" t="str">
        <x:f>_xlfn.IFNA(VLOOKUP(_xlfn.CONCAT("T",J$1,"V",$D219,"A",$A219),Vulnerabilities!$G:$G,1,FALSE),"")</x:f>
      </x:c>
      <x:c r="K219" s="20" t="str">
        <x:f>_xlfn.IFNA(VLOOKUP(_xlfn.CONCAT("T",K$1,"V",$D219,"A",$A219),Vulnerabilities!$G:$G,1,FALSE),"")</x:f>
      </x:c>
      <x:c r="L219" s="20" t="str">
        <x:f>_xlfn.IFNA(VLOOKUP(_xlfn.CONCAT("T",L$1,"V",$D219,"A",$A219),Vulnerabilities!$G:$G,1,FALSE),"")</x:f>
      </x:c>
      <x:c r="M219" s="20" t="str">
        <x:f>_xlfn.IFNA(VLOOKUP(_xlfn.CONCAT("T",M$1,"V",$D219,"A",$A219),Vulnerabilities!$G:$G,1,FALSE),"")</x:f>
      </x:c>
      <x:c r="N219" s="20" t="str">
        <x:f>_xlfn.IFNA(VLOOKUP(_xlfn.CONCAT("T",N$1,"V",$D219,"A",$A219),Vulnerabilities!$G:$G,1,FALSE),"")</x:f>
      </x:c>
      <x:c r="O219" s="20" t="str">
        <x:f>_xlfn.IFNA(VLOOKUP(_xlfn.CONCAT("T",O$1,"V",$D219,"A",$A219),Vulnerabilities!$G:$G,1,FALSE),"")</x:f>
      </x:c>
      <x:c r="P219" s="16" t="str">
        <x:f>_xlfn.IFNA(VLOOKUP(_xlfn.CONCAT("T",P$1,"V",$D219,"A",$A219),Vulnerabilities!$G:$G,1,FALSE),"")</x:f>
      </x:c>
    </x:row>
    <x:row r="220">
      <x:c r="A220" s="1">
        <x:f t="shared" si="4"/>
        <x:v>55</x:v>
      </x:c>
      <x:c r="B220" t="str">
        <x:f>IF(VLOOKUP($A220,Assets!$A:$C,2,FALSE)=0,"",VLOOKUP($A220,Assets!$A:$C,2,FALSE))</x:f>
      </x:c>
      <x:c r="C220" t="str">
        <x:f>IF(VLOOKUP($A220,Assets!$A:$C,3,FALSE)=0,"",VLOOKUP($A220,Assets!$A:$C,3,FALSE))</x:f>
      </x:c>
      <x:c r="D220" s="16">
        <x:v>2</x:v>
      </x:c>
      <x:c r="E220" s="20" t="str">
        <x:f>_xlfn.IFNA(VLOOKUP(_xlfn.CONCAT("T",E$1,"V",$D220,"A",$A220),Vulnerabilities!$G:$G,1,FALSE),"")</x:f>
      </x:c>
      <x:c r="F220" s="20" t="str">
        <x:f>_xlfn.IFNA(VLOOKUP(_xlfn.CONCAT("T",F$1,"V",$D220,"A",$A220),Vulnerabilities!$G:$G,1,FALSE),"")</x:f>
      </x:c>
      <x:c r="G220" s="20" t="str">
        <x:f>_xlfn.IFNA(VLOOKUP(_xlfn.CONCAT("T",G$1,"V",$D220,"A",$A220),Vulnerabilities!$G:$G,1,FALSE),"")</x:f>
      </x:c>
      <x:c r="H220" s="20" t="str">
        <x:f>_xlfn.IFNA(VLOOKUP(_xlfn.CONCAT("T",H$1,"V",$D220,"A",$A220),Vulnerabilities!$G:$G,1,FALSE),"")</x:f>
      </x:c>
      <x:c r="I220" s="20" t="str">
        <x:f>_xlfn.IFNA(VLOOKUP(_xlfn.CONCAT("T",I$1,"V",$D220,"A",$A220),Vulnerabilities!$G:$G,1,FALSE),"")</x:f>
      </x:c>
      <x:c r="J220" s="20" t="str">
        <x:f>_xlfn.IFNA(VLOOKUP(_xlfn.CONCAT("T",J$1,"V",$D220,"A",$A220),Vulnerabilities!$G:$G,1,FALSE),"")</x:f>
      </x:c>
      <x:c r="K220" s="20" t="str">
        <x:f>_xlfn.IFNA(VLOOKUP(_xlfn.CONCAT("T",K$1,"V",$D220,"A",$A220),Vulnerabilities!$G:$G,1,FALSE),"")</x:f>
      </x:c>
      <x:c r="L220" s="20" t="str">
        <x:f>_xlfn.IFNA(VLOOKUP(_xlfn.CONCAT("T",L$1,"V",$D220,"A",$A220),Vulnerabilities!$G:$G,1,FALSE),"")</x:f>
      </x:c>
      <x:c r="M220" s="20" t="str">
        <x:f>_xlfn.IFNA(VLOOKUP(_xlfn.CONCAT("T",M$1,"V",$D220,"A",$A220),Vulnerabilities!$G:$G,1,FALSE),"")</x:f>
      </x:c>
      <x:c r="N220" s="20" t="str">
        <x:f>_xlfn.IFNA(VLOOKUP(_xlfn.CONCAT("T",N$1,"V",$D220,"A",$A220),Vulnerabilities!$G:$G,1,FALSE),"")</x:f>
      </x:c>
      <x:c r="O220" s="20" t="str">
        <x:f>_xlfn.IFNA(VLOOKUP(_xlfn.CONCAT("T",O$1,"V",$D220,"A",$A220),Vulnerabilities!$G:$G,1,FALSE),"")</x:f>
      </x:c>
      <x:c r="P220" s="16" t="str">
        <x:f>_xlfn.IFNA(VLOOKUP(_xlfn.CONCAT("T",P$1,"V",$D220,"A",$A220),Vulnerabilities!$G:$G,1,FALSE),"")</x:f>
      </x:c>
    </x:row>
    <x:row r="221">
      <x:c r="A221" s="1">
        <x:f t="shared" si="4"/>
        <x:v>55</x:v>
      </x:c>
      <x:c r="B221" t="str">
        <x:f>IF(VLOOKUP($A221,Assets!$A:$C,2,FALSE)=0,"",VLOOKUP($A221,Assets!$A:$C,2,FALSE))</x:f>
      </x:c>
      <x:c r="C221" t="str">
        <x:f>IF(VLOOKUP($A221,Assets!$A:$C,3,FALSE)=0,"",VLOOKUP($A221,Assets!$A:$C,3,FALSE))</x:f>
      </x:c>
      <x:c r="D221" s="16">
        <x:v>3</x:v>
      </x:c>
      <x:c r="E221" s="20" t="str">
        <x:f>_xlfn.IFNA(VLOOKUP(_xlfn.CONCAT("T",E$1,"V",$D221,"A",$A221),Vulnerabilities!$G:$G,1,FALSE),"")</x:f>
      </x:c>
      <x:c r="F221" s="20" t="str">
        <x:f>_xlfn.IFNA(VLOOKUP(_xlfn.CONCAT("T",F$1,"V",$D221,"A",$A221),Vulnerabilities!$G:$G,1,FALSE),"")</x:f>
      </x:c>
      <x:c r="G221" s="20" t="str">
        <x:f>_xlfn.IFNA(VLOOKUP(_xlfn.CONCAT("T",G$1,"V",$D221,"A",$A221),Vulnerabilities!$G:$G,1,FALSE),"")</x:f>
      </x:c>
      <x:c r="H221" s="20" t="str">
        <x:f>_xlfn.IFNA(VLOOKUP(_xlfn.CONCAT("T",H$1,"V",$D221,"A",$A221),Vulnerabilities!$G:$G,1,FALSE),"")</x:f>
      </x:c>
      <x:c r="I221" s="20" t="str">
        <x:f>_xlfn.IFNA(VLOOKUP(_xlfn.CONCAT("T",I$1,"V",$D221,"A",$A221),Vulnerabilities!$G:$G,1,FALSE),"")</x:f>
      </x:c>
      <x:c r="J221" s="20" t="str">
        <x:f>_xlfn.IFNA(VLOOKUP(_xlfn.CONCAT("T",J$1,"V",$D221,"A",$A221),Vulnerabilities!$G:$G,1,FALSE),"")</x:f>
      </x:c>
      <x:c r="K221" s="20" t="str">
        <x:f>_xlfn.IFNA(VLOOKUP(_xlfn.CONCAT("T",K$1,"V",$D221,"A",$A221),Vulnerabilities!$G:$G,1,FALSE),"")</x:f>
      </x:c>
      <x:c r="L221" s="20" t="str">
        <x:f>_xlfn.IFNA(VLOOKUP(_xlfn.CONCAT("T",L$1,"V",$D221,"A",$A221),Vulnerabilities!$G:$G,1,FALSE),"")</x:f>
      </x:c>
      <x:c r="M221" s="20" t="str">
        <x:f>_xlfn.IFNA(VLOOKUP(_xlfn.CONCAT("T",M$1,"V",$D221,"A",$A221),Vulnerabilities!$G:$G,1,FALSE),"")</x:f>
      </x:c>
      <x:c r="N221" s="20" t="str">
        <x:f>_xlfn.IFNA(VLOOKUP(_xlfn.CONCAT("T",N$1,"V",$D221,"A",$A221),Vulnerabilities!$G:$G,1,FALSE),"")</x:f>
      </x:c>
      <x:c r="O221" s="20" t="str">
        <x:f>_xlfn.IFNA(VLOOKUP(_xlfn.CONCAT("T",O$1,"V",$D221,"A",$A221),Vulnerabilities!$G:$G,1,FALSE),"")</x:f>
      </x:c>
      <x:c r="P221" s="16" t="str">
        <x:f>_xlfn.IFNA(VLOOKUP(_xlfn.CONCAT("T",P$1,"V",$D221,"A",$A221),Vulnerabilities!$G:$G,1,FALSE),"")</x:f>
      </x:c>
    </x:row>
    <x:row r="222">
      <x:c r="A222" s="11">
        <x:f t="shared" si="4"/>
        <x:v>55</x:v>
      </x:c>
      <x:c r="B222" s="12" t="str">
        <x:f>IF(VLOOKUP($A222,Assets!$A:$C,2,FALSE)=0,"",VLOOKUP($A222,Assets!$A:$C,2,FALSE))</x:f>
      </x:c>
      <x:c r="C222" s="12" t="str">
        <x:f>IF(VLOOKUP($A222,Assets!$A:$C,3,FALSE)=0,"",VLOOKUP($A222,Assets!$A:$C,3,FALSE))</x:f>
      </x:c>
      <x:c r="D222" s="17">
        <x:v>4</x:v>
      </x:c>
      <x:c r="E222" s="21" t="str">
        <x:f>_xlfn.IFNA(VLOOKUP(_xlfn.CONCAT("T",E$1,"V",$D222,"A",$A222),Vulnerabilities!$G:$G,1,FALSE),"")</x:f>
      </x:c>
      <x:c r="F222" s="21" t="str">
        <x:f>_xlfn.IFNA(VLOOKUP(_xlfn.CONCAT("T",F$1,"V",$D222,"A",$A222),Vulnerabilities!$G:$G,1,FALSE),"")</x:f>
      </x:c>
      <x:c r="G222" s="21" t="str">
        <x:f>_xlfn.IFNA(VLOOKUP(_xlfn.CONCAT("T",G$1,"V",$D222,"A",$A222),Vulnerabilities!$G:$G,1,FALSE),"")</x:f>
      </x:c>
      <x:c r="H222" s="21" t="str">
        <x:f>_xlfn.IFNA(VLOOKUP(_xlfn.CONCAT("T",H$1,"V",$D222,"A",$A222),Vulnerabilities!$G:$G,1,FALSE),"")</x:f>
      </x:c>
      <x:c r="I222" s="21" t="str">
        <x:f>_xlfn.IFNA(VLOOKUP(_xlfn.CONCAT("T",I$1,"V",$D222,"A",$A222),Vulnerabilities!$G:$G,1,FALSE),"")</x:f>
      </x:c>
      <x:c r="J222" s="21" t="str">
        <x:f>_xlfn.IFNA(VLOOKUP(_xlfn.CONCAT("T",J$1,"V",$D222,"A",$A222),Vulnerabilities!$G:$G,1,FALSE),"")</x:f>
      </x:c>
      <x:c r="K222" s="21" t="str">
        <x:f>_xlfn.IFNA(VLOOKUP(_xlfn.CONCAT("T",K$1,"V",$D222,"A",$A222),Vulnerabilities!$G:$G,1,FALSE),"")</x:f>
      </x:c>
      <x:c r="L222" s="21" t="str">
        <x:f>_xlfn.IFNA(VLOOKUP(_xlfn.CONCAT("T",L$1,"V",$D222,"A",$A222),Vulnerabilities!$G:$G,1,FALSE),"")</x:f>
      </x:c>
      <x:c r="M222" s="21" t="str">
        <x:f>_xlfn.IFNA(VLOOKUP(_xlfn.CONCAT("T",M$1,"V",$D222,"A",$A222),Vulnerabilities!$G:$G,1,FALSE),"")</x:f>
      </x:c>
      <x:c r="N222" s="21" t="str">
        <x:f>_xlfn.IFNA(VLOOKUP(_xlfn.CONCAT("T",N$1,"V",$D222,"A",$A222),Vulnerabilities!$G:$G,1,FALSE),"")</x:f>
      </x:c>
      <x:c r="O222" s="21" t="str">
        <x:f>_xlfn.IFNA(VLOOKUP(_xlfn.CONCAT("T",O$1,"V",$D222,"A",$A222),Vulnerabilities!$G:$G,1,FALSE),"")</x:f>
      </x:c>
      <x:c r="P222" s="17" t="str">
        <x:f>_xlfn.IFNA(VLOOKUP(_xlfn.CONCAT("T",P$1,"V",$D222,"A",$A222),Vulnerabilities!$G:$G,1,FALSE),"")</x:f>
      </x:c>
    </x:row>
    <x:row r="223">
      <x:c r="A223" s="1">
        <x:f t="shared" si="4"/>
        <x:v>56</x:v>
      </x:c>
      <x:c r="B223" t="str">
        <x:f>IF(VLOOKUP($A223,Assets!$A:$C,2,FALSE)=0,"",VLOOKUP($A223,Assets!$A:$C,2,FALSE))</x:f>
      </x:c>
      <x:c r="C223" t="str">
        <x:f>IF(VLOOKUP($A223,Assets!$A:$C,3,FALSE)=0,"",VLOOKUP($A223,Assets!$A:$C,3,FALSE))</x:f>
      </x:c>
      <x:c r="D223" s="16">
        <x:v>1</x:v>
      </x:c>
      <x:c r="E223" s="20" t="str">
        <x:f>_xlfn.IFNA(VLOOKUP(_xlfn.CONCAT("T",E$1,"V",$D223,"A",$A223),Vulnerabilities!$G:$G,1,FALSE),"")</x:f>
      </x:c>
      <x:c r="F223" s="20" t="str">
        <x:f>_xlfn.IFNA(VLOOKUP(_xlfn.CONCAT("T",F$1,"V",$D223,"A",$A223),Vulnerabilities!$G:$G,1,FALSE),"")</x:f>
      </x:c>
      <x:c r="G223" s="20" t="str">
        <x:f>_xlfn.IFNA(VLOOKUP(_xlfn.CONCAT("T",G$1,"V",$D223,"A",$A223),Vulnerabilities!$G:$G,1,FALSE),"")</x:f>
      </x:c>
      <x:c r="H223" s="20" t="str">
        <x:f>_xlfn.IFNA(VLOOKUP(_xlfn.CONCAT("T",H$1,"V",$D223,"A",$A223),Vulnerabilities!$G:$G,1,FALSE),"")</x:f>
      </x:c>
      <x:c r="I223" s="20" t="str">
        <x:f>_xlfn.IFNA(VLOOKUP(_xlfn.CONCAT("T",I$1,"V",$D223,"A",$A223),Vulnerabilities!$G:$G,1,FALSE),"")</x:f>
      </x:c>
      <x:c r="J223" s="20" t="str">
        <x:f>_xlfn.IFNA(VLOOKUP(_xlfn.CONCAT("T",J$1,"V",$D223,"A",$A223),Vulnerabilities!$G:$G,1,FALSE),"")</x:f>
      </x:c>
      <x:c r="K223" s="20" t="str">
        <x:f>_xlfn.IFNA(VLOOKUP(_xlfn.CONCAT("T",K$1,"V",$D223,"A",$A223),Vulnerabilities!$G:$G,1,FALSE),"")</x:f>
      </x:c>
      <x:c r="L223" s="20" t="str">
        <x:f>_xlfn.IFNA(VLOOKUP(_xlfn.CONCAT("T",L$1,"V",$D223,"A",$A223),Vulnerabilities!$G:$G,1,FALSE),"")</x:f>
      </x:c>
      <x:c r="M223" s="20" t="str">
        <x:f>_xlfn.IFNA(VLOOKUP(_xlfn.CONCAT("T",M$1,"V",$D223,"A",$A223),Vulnerabilities!$G:$G,1,FALSE),"")</x:f>
      </x:c>
      <x:c r="N223" s="20" t="str">
        <x:f>_xlfn.IFNA(VLOOKUP(_xlfn.CONCAT("T",N$1,"V",$D223,"A",$A223),Vulnerabilities!$G:$G,1,FALSE),"")</x:f>
      </x:c>
      <x:c r="O223" s="20" t="str">
        <x:f>_xlfn.IFNA(VLOOKUP(_xlfn.CONCAT("T",O$1,"V",$D223,"A",$A223),Vulnerabilities!$G:$G,1,FALSE),"")</x:f>
      </x:c>
      <x:c r="P223" s="16" t="str">
        <x:f>_xlfn.IFNA(VLOOKUP(_xlfn.CONCAT("T",P$1,"V",$D223,"A",$A223),Vulnerabilities!$G:$G,1,FALSE),"")</x:f>
      </x:c>
    </x:row>
    <x:row r="224">
      <x:c r="A224" s="1">
        <x:f t="shared" si="4"/>
        <x:v>56</x:v>
      </x:c>
      <x:c r="B224" t="str">
        <x:f>IF(VLOOKUP($A224,Assets!$A:$C,2,FALSE)=0,"",VLOOKUP($A224,Assets!$A:$C,2,FALSE))</x:f>
      </x:c>
      <x:c r="C224" t="str">
        <x:f>IF(VLOOKUP($A224,Assets!$A:$C,3,FALSE)=0,"",VLOOKUP($A224,Assets!$A:$C,3,FALSE))</x:f>
      </x:c>
      <x:c r="D224" s="16">
        <x:v>2</x:v>
      </x:c>
      <x:c r="E224" s="20" t="str">
        <x:f>_xlfn.IFNA(VLOOKUP(_xlfn.CONCAT("T",E$1,"V",$D224,"A",$A224),Vulnerabilities!$G:$G,1,FALSE),"")</x:f>
      </x:c>
      <x:c r="F224" s="20" t="str">
        <x:f>_xlfn.IFNA(VLOOKUP(_xlfn.CONCAT("T",F$1,"V",$D224,"A",$A224),Vulnerabilities!$G:$G,1,FALSE),"")</x:f>
      </x:c>
      <x:c r="G224" s="20" t="str">
        <x:f>_xlfn.IFNA(VLOOKUP(_xlfn.CONCAT("T",G$1,"V",$D224,"A",$A224),Vulnerabilities!$G:$G,1,FALSE),"")</x:f>
      </x:c>
      <x:c r="H224" s="20" t="str">
        <x:f>_xlfn.IFNA(VLOOKUP(_xlfn.CONCAT("T",H$1,"V",$D224,"A",$A224),Vulnerabilities!$G:$G,1,FALSE),"")</x:f>
      </x:c>
      <x:c r="I224" s="20" t="str">
        <x:f>_xlfn.IFNA(VLOOKUP(_xlfn.CONCAT("T",I$1,"V",$D224,"A",$A224),Vulnerabilities!$G:$G,1,FALSE),"")</x:f>
      </x:c>
      <x:c r="J224" s="20" t="str">
        <x:f>_xlfn.IFNA(VLOOKUP(_xlfn.CONCAT("T",J$1,"V",$D224,"A",$A224),Vulnerabilities!$G:$G,1,FALSE),"")</x:f>
      </x:c>
      <x:c r="K224" s="20" t="str">
        <x:f>_xlfn.IFNA(VLOOKUP(_xlfn.CONCAT("T",K$1,"V",$D224,"A",$A224),Vulnerabilities!$G:$G,1,FALSE),"")</x:f>
      </x:c>
      <x:c r="L224" s="20" t="str">
        <x:f>_xlfn.IFNA(VLOOKUP(_xlfn.CONCAT("T",L$1,"V",$D224,"A",$A224),Vulnerabilities!$G:$G,1,FALSE),"")</x:f>
      </x:c>
      <x:c r="M224" s="20" t="str">
        <x:f>_xlfn.IFNA(VLOOKUP(_xlfn.CONCAT("T",M$1,"V",$D224,"A",$A224),Vulnerabilities!$G:$G,1,FALSE),"")</x:f>
      </x:c>
      <x:c r="N224" s="20" t="str">
        <x:f>_xlfn.IFNA(VLOOKUP(_xlfn.CONCAT("T",N$1,"V",$D224,"A",$A224),Vulnerabilities!$G:$G,1,FALSE),"")</x:f>
      </x:c>
      <x:c r="O224" s="20" t="str">
        <x:f>_xlfn.IFNA(VLOOKUP(_xlfn.CONCAT("T",O$1,"V",$D224,"A",$A224),Vulnerabilities!$G:$G,1,FALSE),"")</x:f>
      </x:c>
      <x:c r="P224" s="16" t="str">
        <x:f>_xlfn.IFNA(VLOOKUP(_xlfn.CONCAT("T",P$1,"V",$D224,"A",$A224),Vulnerabilities!$G:$G,1,FALSE),"")</x:f>
      </x:c>
    </x:row>
    <x:row r="225">
      <x:c r="A225" s="1">
        <x:f t="shared" si="4"/>
        <x:v>56</x:v>
      </x:c>
      <x:c r="B225" t="str">
        <x:f>IF(VLOOKUP($A225,Assets!$A:$C,2,FALSE)=0,"",VLOOKUP($A225,Assets!$A:$C,2,FALSE))</x:f>
      </x:c>
      <x:c r="C225" t="str">
        <x:f>IF(VLOOKUP($A225,Assets!$A:$C,3,FALSE)=0,"",VLOOKUP($A225,Assets!$A:$C,3,FALSE))</x:f>
      </x:c>
      <x:c r="D225" s="16">
        <x:v>3</x:v>
      </x:c>
      <x:c r="E225" s="20" t="str">
        <x:f>_xlfn.IFNA(VLOOKUP(_xlfn.CONCAT("T",E$1,"V",$D225,"A",$A225),Vulnerabilities!$G:$G,1,FALSE),"")</x:f>
      </x:c>
      <x:c r="F225" s="20" t="str">
        <x:f>_xlfn.IFNA(VLOOKUP(_xlfn.CONCAT("T",F$1,"V",$D225,"A",$A225),Vulnerabilities!$G:$G,1,FALSE),"")</x:f>
      </x:c>
      <x:c r="G225" s="20" t="str">
        <x:f>_xlfn.IFNA(VLOOKUP(_xlfn.CONCAT("T",G$1,"V",$D225,"A",$A225),Vulnerabilities!$G:$G,1,FALSE),"")</x:f>
      </x:c>
      <x:c r="H225" s="20" t="str">
        <x:f>_xlfn.IFNA(VLOOKUP(_xlfn.CONCAT("T",H$1,"V",$D225,"A",$A225),Vulnerabilities!$G:$G,1,FALSE),"")</x:f>
      </x:c>
      <x:c r="I225" s="20" t="str">
        <x:f>_xlfn.IFNA(VLOOKUP(_xlfn.CONCAT("T",I$1,"V",$D225,"A",$A225),Vulnerabilities!$G:$G,1,FALSE),"")</x:f>
      </x:c>
      <x:c r="J225" s="20" t="str">
        <x:f>_xlfn.IFNA(VLOOKUP(_xlfn.CONCAT("T",J$1,"V",$D225,"A",$A225),Vulnerabilities!$G:$G,1,FALSE),"")</x:f>
      </x:c>
      <x:c r="K225" s="20" t="str">
        <x:f>_xlfn.IFNA(VLOOKUP(_xlfn.CONCAT("T",K$1,"V",$D225,"A",$A225),Vulnerabilities!$G:$G,1,FALSE),"")</x:f>
      </x:c>
      <x:c r="L225" s="20" t="str">
        <x:f>_xlfn.IFNA(VLOOKUP(_xlfn.CONCAT("T",L$1,"V",$D225,"A",$A225),Vulnerabilities!$G:$G,1,FALSE),"")</x:f>
      </x:c>
      <x:c r="M225" s="20" t="str">
        <x:f>_xlfn.IFNA(VLOOKUP(_xlfn.CONCAT("T",M$1,"V",$D225,"A",$A225),Vulnerabilities!$G:$G,1,FALSE),"")</x:f>
      </x:c>
      <x:c r="N225" s="20" t="str">
        <x:f>_xlfn.IFNA(VLOOKUP(_xlfn.CONCAT("T",N$1,"V",$D225,"A",$A225),Vulnerabilities!$G:$G,1,FALSE),"")</x:f>
      </x:c>
      <x:c r="O225" s="20" t="str">
        <x:f>_xlfn.IFNA(VLOOKUP(_xlfn.CONCAT("T",O$1,"V",$D225,"A",$A225),Vulnerabilities!$G:$G,1,FALSE),"")</x:f>
      </x:c>
      <x:c r="P225" s="16" t="str">
        <x:f>_xlfn.IFNA(VLOOKUP(_xlfn.CONCAT("T",P$1,"V",$D225,"A",$A225),Vulnerabilities!$G:$G,1,FALSE),"")</x:f>
      </x:c>
    </x:row>
    <x:row r="226">
      <x:c r="A226" s="11">
        <x:f t="shared" si="4"/>
        <x:v>56</x:v>
      </x:c>
      <x:c r="B226" s="12" t="str">
        <x:f>IF(VLOOKUP($A226,Assets!$A:$C,2,FALSE)=0,"",VLOOKUP($A226,Assets!$A:$C,2,FALSE))</x:f>
      </x:c>
      <x:c r="C226" s="12" t="str">
        <x:f>IF(VLOOKUP($A226,Assets!$A:$C,3,FALSE)=0,"",VLOOKUP($A226,Assets!$A:$C,3,FALSE))</x:f>
      </x:c>
      <x:c r="D226" s="17">
        <x:v>4</x:v>
      </x:c>
      <x:c r="E226" s="21" t="str">
        <x:f>_xlfn.IFNA(VLOOKUP(_xlfn.CONCAT("T",E$1,"V",$D226,"A",$A226),Vulnerabilities!$G:$G,1,FALSE),"")</x:f>
      </x:c>
      <x:c r="F226" s="21" t="str">
        <x:f>_xlfn.IFNA(VLOOKUP(_xlfn.CONCAT("T",F$1,"V",$D226,"A",$A226),Vulnerabilities!$G:$G,1,FALSE),"")</x:f>
      </x:c>
      <x:c r="G226" s="21" t="str">
        <x:f>_xlfn.IFNA(VLOOKUP(_xlfn.CONCAT("T",G$1,"V",$D226,"A",$A226),Vulnerabilities!$G:$G,1,FALSE),"")</x:f>
      </x:c>
      <x:c r="H226" s="21" t="str">
        <x:f>_xlfn.IFNA(VLOOKUP(_xlfn.CONCAT("T",H$1,"V",$D226,"A",$A226),Vulnerabilities!$G:$G,1,FALSE),"")</x:f>
      </x:c>
      <x:c r="I226" s="21" t="str">
        <x:f>_xlfn.IFNA(VLOOKUP(_xlfn.CONCAT("T",I$1,"V",$D226,"A",$A226),Vulnerabilities!$G:$G,1,FALSE),"")</x:f>
      </x:c>
      <x:c r="J226" s="21" t="str">
        <x:f>_xlfn.IFNA(VLOOKUP(_xlfn.CONCAT("T",J$1,"V",$D226,"A",$A226),Vulnerabilities!$G:$G,1,FALSE),"")</x:f>
      </x:c>
      <x:c r="K226" s="21" t="str">
        <x:f>_xlfn.IFNA(VLOOKUP(_xlfn.CONCAT("T",K$1,"V",$D226,"A",$A226),Vulnerabilities!$G:$G,1,FALSE),"")</x:f>
      </x:c>
      <x:c r="L226" s="21" t="str">
        <x:f>_xlfn.IFNA(VLOOKUP(_xlfn.CONCAT("T",L$1,"V",$D226,"A",$A226),Vulnerabilities!$G:$G,1,FALSE),"")</x:f>
      </x:c>
      <x:c r="M226" s="21" t="str">
        <x:f>_xlfn.IFNA(VLOOKUP(_xlfn.CONCAT("T",M$1,"V",$D226,"A",$A226),Vulnerabilities!$G:$G,1,FALSE),"")</x:f>
      </x:c>
      <x:c r="N226" s="21" t="str">
        <x:f>_xlfn.IFNA(VLOOKUP(_xlfn.CONCAT("T",N$1,"V",$D226,"A",$A226),Vulnerabilities!$G:$G,1,FALSE),"")</x:f>
      </x:c>
      <x:c r="O226" s="21" t="str">
        <x:f>_xlfn.IFNA(VLOOKUP(_xlfn.CONCAT("T",O$1,"V",$D226,"A",$A226),Vulnerabilities!$G:$G,1,FALSE),"")</x:f>
      </x:c>
      <x:c r="P226" s="17" t="str">
        <x:f>_xlfn.IFNA(VLOOKUP(_xlfn.CONCAT("T",P$1,"V",$D226,"A",$A226),Vulnerabilities!$G:$G,1,FALSE),"")</x:f>
      </x:c>
    </x:row>
    <x:row r="227">
      <x:c r="A227" s="1">
        <x:f t="shared" si="4"/>
        <x:v>57</x:v>
      </x:c>
      <x:c r="B227" t="str">
        <x:f>IF(VLOOKUP($A227,Assets!$A:$C,2,FALSE)=0,"",VLOOKUP($A227,Assets!$A:$C,2,FALSE))</x:f>
      </x:c>
      <x:c r="C227" t="str">
        <x:f>IF(VLOOKUP($A227,Assets!$A:$C,3,FALSE)=0,"",VLOOKUP($A227,Assets!$A:$C,3,FALSE))</x:f>
      </x:c>
      <x:c r="D227" s="16">
        <x:v>1</x:v>
      </x:c>
      <x:c r="E227" s="20" t="str">
        <x:f>_xlfn.IFNA(VLOOKUP(_xlfn.CONCAT("T",E$1,"V",$D227,"A",$A227),Vulnerabilities!$G:$G,1,FALSE),"")</x:f>
      </x:c>
      <x:c r="F227" s="20" t="str">
        <x:f>_xlfn.IFNA(VLOOKUP(_xlfn.CONCAT("T",F$1,"V",$D227,"A",$A227),Vulnerabilities!$G:$G,1,FALSE),"")</x:f>
      </x:c>
      <x:c r="G227" s="20" t="str">
        <x:f>_xlfn.IFNA(VLOOKUP(_xlfn.CONCAT("T",G$1,"V",$D227,"A",$A227),Vulnerabilities!$G:$G,1,FALSE),"")</x:f>
      </x:c>
      <x:c r="H227" s="20" t="str">
        <x:f>_xlfn.IFNA(VLOOKUP(_xlfn.CONCAT("T",H$1,"V",$D227,"A",$A227),Vulnerabilities!$G:$G,1,FALSE),"")</x:f>
      </x:c>
      <x:c r="I227" s="20" t="str">
        <x:f>_xlfn.IFNA(VLOOKUP(_xlfn.CONCAT("T",I$1,"V",$D227,"A",$A227),Vulnerabilities!$G:$G,1,FALSE),"")</x:f>
      </x:c>
      <x:c r="J227" s="20" t="str">
        <x:f>_xlfn.IFNA(VLOOKUP(_xlfn.CONCAT("T",J$1,"V",$D227,"A",$A227),Vulnerabilities!$G:$G,1,FALSE),"")</x:f>
      </x:c>
      <x:c r="K227" s="20" t="str">
        <x:f>_xlfn.IFNA(VLOOKUP(_xlfn.CONCAT("T",K$1,"V",$D227,"A",$A227),Vulnerabilities!$G:$G,1,FALSE),"")</x:f>
      </x:c>
      <x:c r="L227" s="20" t="str">
        <x:f>_xlfn.IFNA(VLOOKUP(_xlfn.CONCAT("T",L$1,"V",$D227,"A",$A227),Vulnerabilities!$G:$G,1,FALSE),"")</x:f>
      </x:c>
      <x:c r="M227" s="20" t="str">
        <x:f>_xlfn.IFNA(VLOOKUP(_xlfn.CONCAT("T",M$1,"V",$D227,"A",$A227),Vulnerabilities!$G:$G,1,FALSE),"")</x:f>
      </x:c>
      <x:c r="N227" s="20" t="str">
        <x:f>_xlfn.IFNA(VLOOKUP(_xlfn.CONCAT("T",N$1,"V",$D227,"A",$A227),Vulnerabilities!$G:$G,1,FALSE),"")</x:f>
      </x:c>
      <x:c r="O227" s="20" t="str">
        <x:f>_xlfn.IFNA(VLOOKUP(_xlfn.CONCAT("T",O$1,"V",$D227,"A",$A227),Vulnerabilities!$G:$G,1,FALSE),"")</x:f>
      </x:c>
      <x:c r="P227" s="16" t="str">
        <x:f>_xlfn.IFNA(VLOOKUP(_xlfn.CONCAT("T",P$1,"V",$D227,"A",$A227),Vulnerabilities!$G:$G,1,FALSE),"")</x:f>
      </x:c>
    </x:row>
    <x:row r="228">
      <x:c r="A228" s="1">
        <x:f t="shared" si="4"/>
        <x:v>57</x:v>
      </x:c>
      <x:c r="B228" t="str">
        <x:f>IF(VLOOKUP($A228,Assets!$A:$C,2,FALSE)=0,"",VLOOKUP($A228,Assets!$A:$C,2,FALSE))</x:f>
      </x:c>
      <x:c r="C228" t="str">
        <x:f>IF(VLOOKUP($A228,Assets!$A:$C,3,FALSE)=0,"",VLOOKUP($A228,Assets!$A:$C,3,FALSE))</x:f>
      </x:c>
      <x:c r="D228" s="16">
        <x:v>2</x:v>
      </x:c>
      <x:c r="E228" s="20" t="str">
        <x:f>_xlfn.IFNA(VLOOKUP(_xlfn.CONCAT("T",E$1,"V",$D228,"A",$A228),Vulnerabilities!$G:$G,1,FALSE),"")</x:f>
      </x:c>
      <x:c r="F228" s="20" t="str">
        <x:f>_xlfn.IFNA(VLOOKUP(_xlfn.CONCAT("T",F$1,"V",$D228,"A",$A228),Vulnerabilities!$G:$G,1,FALSE),"")</x:f>
      </x:c>
      <x:c r="G228" s="20" t="str">
        <x:f>_xlfn.IFNA(VLOOKUP(_xlfn.CONCAT("T",G$1,"V",$D228,"A",$A228),Vulnerabilities!$G:$G,1,FALSE),"")</x:f>
      </x:c>
      <x:c r="H228" s="20" t="str">
        <x:f>_xlfn.IFNA(VLOOKUP(_xlfn.CONCAT("T",H$1,"V",$D228,"A",$A228),Vulnerabilities!$G:$G,1,FALSE),"")</x:f>
      </x:c>
      <x:c r="I228" s="20" t="str">
        <x:f>_xlfn.IFNA(VLOOKUP(_xlfn.CONCAT("T",I$1,"V",$D228,"A",$A228),Vulnerabilities!$G:$G,1,FALSE),"")</x:f>
      </x:c>
      <x:c r="J228" s="20" t="str">
        <x:f>_xlfn.IFNA(VLOOKUP(_xlfn.CONCAT("T",J$1,"V",$D228,"A",$A228),Vulnerabilities!$G:$G,1,FALSE),"")</x:f>
      </x:c>
      <x:c r="K228" s="20" t="str">
        <x:f>_xlfn.IFNA(VLOOKUP(_xlfn.CONCAT("T",K$1,"V",$D228,"A",$A228),Vulnerabilities!$G:$G,1,FALSE),"")</x:f>
      </x:c>
      <x:c r="L228" s="20" t="str">
        <x:f>_xlfn.IFNA(VLOOKUP(_xlfn.CONCAT("T",L$1,"V",$D228,"A",$A228),Vulnerabilities!$G:$G,1,FALSE),"")</x:f>
      </x:c>
      <x:c r="M228" s="20" t="str">
        <x:f>_xlfn.IFNA(VLOOKUP(_xlfn.CONCAT("T",M$1,"V",$D228,"A",$A228),Vulnerabilities!$G:$G,1,FALSE),"")</x:f>
      </x:c>
      <x:c r="N228" s="20" t="str">
        <x:f>_xlfn.IFNA(VLOOKUP(_xlfn.CONCAT("T",N$1,"V",$D228,"A",$A228),Vulnerabilities!$G:$G,1,FALSE),"")</x:f>
      </x:c>
      <x:c r="O228" s="20" t="str">
        <x:f>_xlfn.IFNA(VLOOKUP(_xlfn.CONCAT("T",O$1,"V",$D228,"A",$A228),Vulnerabilities!$G:$G,1,FALSE),"")</x:f>
      </x:c>
      <x:c r="P228" s="16" t="str">
        <x:f>_xlfn.IFNA(VLOOKUP(_xlfn.CONCAT("T",P$1,"V",$D228,"A",$A228),Vulnerabilities!$G:$G,1,FALSE),"")</x:f>
      </x:c>
    </x:row>
    <x:row r="229">
      <x:c r="A229" s="1">
        <x:f t="shared" si="4"/>
        <x:v>57</x:v>
      </x:c>
      <x:c r="B229" t="str">
        <x:f>IF(VLOOKUP($A229,Assets!$A:$C,2,FALSE)=0,"",VLOOKUP($A229,Assets!$A:$C,2,FALSE))</x:f>
      </x:c>
      <x:c r="C229" t="str">
        <x:f>IF(VLOOKUP($A229,Assets!$A:$C,3,FALSE)=0,"",VLOOKUP($A229,Assets!$A:$C,3,FALSE))</x:f>
      </x:c>
      <x:c r="D229" s="16">
        <x:v>3</x:v>
      </x:c>
      <x:c r="E229" s="20" t="str">
        <x:f>_xlfn.IFNA(VLOOKUP(_xlfn.CONCAT("T",E$1,"V",$D229,"A",$A229),Vulnerabilities!$G:$G,1,FALSE),"")</x:f>
      </x:c>
      <x:c r="F229" s="20" t="str">
        <x:f>_xlfn.IFNA(VLOOKUP(_xlfn.CONCAT("T",F$1,"V",$D229,"A",$A229),Vulnerabilities!$G:$G,1,FALSE),"")</x:f>
      </x:c>
      <x:c r="G229" s="20" t="str">
        <x:f>_xlfn.IFNA(VLOOKUP(_xlfn.CONCAT("T",G$1,"V",$D229,"A",$A229),Vulnerabilities!$G:$G,1,FALSE),"")</x:f>
      </x:c>
      <x:c r="H229" s="20" t="str">
        <x:f>_xlfn.IFNA(VLOOKUP(_xlfn.CONCAT("T",H$1,"V",$D229,"A",$A229),Vulnerabilities!$G:$G,1,FALSE),"")</x:f>
      </x:c>
      <x:c r="I229" s="20" t="str">
        <x:f>_xlfn.IFNA(VLOOKUP(_xlfn.CONCAT("T",I$1,"V",$D229,"A",$A229),Vulnerabilities!$G:$G,1,FALSE),"")</x:f>
      </x:c>
      <x:c r="J229" s="20" t="str">
        <x:f>_xlfn.IFNA(VLOOKUP(_xlfn.CONCAT("T",J$1,"V",$D229,"A",$A229),Vulnerabilities!$G:$G,1,FALSE),"")</x:f>
      </x:c>
      <x:c r="K229" s="20" t="str">
        <x:f>_xlfn.IFNA(VLOOKUP(_xlfn.CONCAT("T",K$1,"V",$D229,"A",$A229),Vulnerabilities!$G:$G,1,FALSE),"")</x:f>
      </x:c>
      <x:c r="L229" s="20" t="str">
        <x:f>_xlfn.IFNA(VLOOKUP(_xlfn.CONCAT("T",L$1,"V",$D229,"A",$A229),Vulnerabilities!$G:$G,1,FALSE),"")</x:f>
      </x:c>
      <x:c r="M229" s="20" t="str">
        <x:f>_xlfn.IFNA(VLOOKUP(_xlfn.CONCAT("T",M$1,"V",$D229,"A",$A229),Vulnerabilities!$G:$G,1,FALSE),"")</x:f>
      </x:c>
      <x:c r="N229" s="20" t="str">
        <x:f>_xlfn.IFNA(VLOOKUP(_xlfn.CONCAT("T",N$1,"V",$D229,"A",$A229),Vulnerabilities!$G:$G,1,FALSE),"")</x:f>
      </x:c>
      <x:c r="O229" s="20" t="str">
        <x:f>_xlfn.IFNA(VLOOKUP(_xlfn.CONCAT("T",O$1,"V",$D229,"A",$A229),Vulnerabilities!$G:$G,1,FALSE),"")</x:f>
      </x:c>
      <x:c r="P229" s="16" t="str">
        <x:f>_xlfn.IFNA(VLOOKUP(_xlfn.CONCAT("T",P$1,"V",$D229,"A",$A229),Vulnerabilities!$G:$G,1,FALSE),"")</x:f>
      </x:c>
    </x:row>
    <x:row r="230">
      <x:c r="A230" s="11">
        <x:f t="shared" si="4"/>
        <x:v>57</x:v>
      </x:c>
      <x:c r="B230" s="12" t="str">
        <x:f>IF(VLOOKUP($A230,Assets!$A:$C,2,FALSE)=0,"",VLOOKUP($A230,Assets!$A:$C,2,FALSE))</x:f>
      </x:c>
      <x:c r="C230" s="12" t="str">
        <x:f>IF(VLOOKUP($A230,Assets!$A:$C,3,FALSE)=0,"",VLOOKUP($A230,Assets!$A:$C,3,FALSE))</x:f>
      </x:c>
      <x:c r="D230" s="17">
        <x:v>4</x:v>
      </x:c>
      <x:c r="E230" s="21" t="str">
        <x:f>_xlfn.IFNA(VLOOKUP(_xlfn.CONCAT("T",E$1,"V",$D230,"A",$A230),Vulnerabilities!$G:$G,1,FALSE),"")</x:f>
      </x:c>
      <x:c r="F230" s="21" t="str">
        <x:f>_xlfn.IFNA(VLOOKUP(_xlfn.CONCAT("T",F$1,"V",$D230,"A",$A230),Vulnerabilities!$G:$G,1,FALSE),"")</x:f>
      </x:c>
      <x:c r="G230" s="21" t="str">
        <x:f>_xlfn.IFNA(VLOOKUP(_xlfn.CONCAT("T",G$1,"V",$D230,"A",$A230),Vulnerabilities!$G:$G,1,FALSE),"")</x:f>
      </x:c>
      <x:c r="H230" s="21" t="str">
        <x:f>_xlfn.IFNA(VLOOKUP(_xlfn.CONCAT("T",H$1,"V",$D230,"A",$A230),Vulnerabilities!$G:$G,1,FALSE),"")</x:f>
      </x:c>
      <x:c r="I230" s="21" t="str">
        <x:f>_xlfn.IFNA(VLOOKUP(_xlfn.CONCAT("T",I$1,"V",$D230,"A",$A230),Vulnerabilities!$G:$G,1,FALSE),"")</x:f>
      </x:c>
      <x:c r="J230" s="21" t="str">
        <x:f>_xlfn.IFNA(VLOOKUP(_xlfn.CONCAT("T",J$1,"V",$D230,"A",$A230),Vulnerabilities!$G:$G,1,FALSE),"")</x:f>
      </x:c>
      <x:c r="K230" s="21" t="str">
        <x:f>_xlfn.IFNA(VLOOKUP(_xlfn.CONCAT("T",K$1,"V",$D230,"A",$A230),Vulnerabilities!$G:$G,1,FALSE),"")</x:f>
      </x:c>
      <x:c r="L230" s="21" t="str">
        <x:f>_xlfn.IFNA(VLOOKUP(_xlfn.CONCAT("T",L$1,"V",$D230,"A",$A230),Vulnerabilities!$G:$G,1,FALSE),"")</x:f>
      </x:c>
      <x:c r="M230" s="21" t="str">
        <x:f>_xlfn.IFNA(VLOOKUP(_xlfn.CONCAT("T",M$1,"V",$D230,"A",$A230),Vulnerabilities!$G:$G,1,FALSE),"")</x:f>
      </x:c>
      <x:c r="N230" s="21" t="str">
        <x:f>_xlfn.IFNA(VLOOKUP(_xlfn.CONCAT("T",N$1,"V",$D230,"A",$A230),Vulnerabilities!$G:$G,1,FALSE),"")</x:f>
      </x:c>
      <x:c r="O230" s="21" t="str">
        <x:f>_xlfn.IFNA(VLOOKUP(_xlfn.CONCAT("T",O$1,"V",$D230,"A",$A230),Vulnerabilities!$G:$G,1,FALSE),"")</x:f>
      </x:c>
      <x:c r="P230" s="17" t="str">
        <x:f>_xlfn.IFNA(VLOOKUP(_xlfn.CONCAT("T",P$1,"V",$D230,"A",$A230),Vulnerabilities!$G:$G,1,FALSE),"")</x:f>
      </x:c>
    </x:row>
    <x:row r="231">
      <x:c r="A231" s="1">
        <x:f t="shared" si="4"/>
        <x:v>58</x:v>
      </x:c>
      <x:c r="B231" t="str">
        <x:f>IF(VLOOKUP($A231,Assets!$A:$C,2,FALSE)=0,"",VLOOKUP($A231,Assets!$A:$C,2,FALSE))</x:f>
      </x:c>
      <x:c r="C231" t="str">
        <x:f>IF(VLOOKUP($A231,Assets!$A:$C,3,FALSE)=0,"",VLOOKUP($A231,Assets!$A:$C,3,FALSE))</x:f>
      </x:c>
      <x:c r="D231" s="16">
        <x:v>1</x:v>
      </x:c>
      <x:c r="E231" s="20" t="str">
        <x:f>_xlfn.IFNA(VLOOKUP(_xlfn.CONCAT("T",E$1,"V",$D231,"A",$A231),Vulnerabilities!$G:$G,1,FALSE),"")</x:f>
      </x:c>
      <x:c r="F231" s="20" t="str">
        <x:f>_xlfn.IFNA(VLOOKUP(_xlfn.CONCAT("T",F$1,"V",$D231,"A",$A231),Vulnerabilities!$G:$G,1,FALSE),"")</x:f>
      </x:c>
      <x:c r="G231" s="20" t="str">
        <x:f>_xlfn.IFNA(VLOOKUP(_xlfn.CONCAT("T",G$1,"V",$D231,"A",$A231),Vulnerabilities!$G:$G,1,FALSE),"")</x:f>
      </x:c>
      <x:c r="H231" s="20" t="str">
        <x:f>_xlfn.IFNA(VLOOKUP(_xlfn.CONCAT("T",H$1,"V",$D231,"A",$A231),Vulnerabilities!$G:$G,1,FALSE),"")</x:f>
      </x:c>
      <x:c r="I231" s="20" t="str">
        <x:f>_xlfn.IFNA(VLOOKUP(_xlfn.CONCAT("T",I$1,"V",$D231,"A",$A231),Vulnerabilities!$G:$G,1,FALSE),"")</x:f>
      </x:c>
      <x:c r="J231" s="20" t="str">
        <x:f>_xlfn.IFNA(VLOOKUP(_xlfn.CONCAT("T",J$1,"V",$D231,"A",$A231),Vulnerabilities!$G:$G,1,FALSE),"")</x:f>
      </x:c>
      <x:c r="K231" s="20" t="str">
        <x:f>_xlfn.IFNA(VLOOKUP(_xlfn.CONCAT("T",K$1,"V",$D231,"A",$A231),Vulnerabilities!$G:$G,1,FALSE),"")</x:f>
      </x:c>
      <x:c r="L231" s="20" t="str">
        <x:f>_xlfn.IFNA(VLOOKUP(_xlfn.CONCAT("T",L$1,"V",$D231,"A",$A231),Vulnerabilities!$G:$G,1,FALSE),"")</x:f>
      </x:c>
      <x:c r="M231" s="20" t="str">
        <x:f>_xlfn.IFNA(VLOOKUP(_xlfn.CONCAT("T",M$1,"V",$D231,"A",$A231),Vulnerabilities!$G:$G,1,FALSE),"")</x:f>
      </x:c>
      <x:c r="N231" s="20" t="str">
        <x:f>_xlfn.IFNA(VLOOKUP(_xlfn.CONCAT("T",N$1,"V",$D231,"A",$A231),Vulnerabilities!$G:$G,1,FALSE),"")</x:f>
      </x:c>
      <x:c r="O231" s="20" t="str">
        <x:f>_xlfn.IFNA(VLOOKUP(_xlfn.CONCAT("T",O$1,"V",$D231,"A",$A231),Vulnerabilities!$G:$G,1,FALSE),"")</x:f>
      </x:c>
      <x:c r="P231" s="16" t="str">
        <x:f>_xlfn.IFNA(VLOOKUP(_xlfn.CONCAT("T",P$1,"V",$D231,"A",$A231),Vulnerabilities!$G:$G,1,FALSE),"")</x:f>
      </x:c>
    </x:row>
    <x:row r="232">
      <x:c r="A232" s="1">
        <x:f t="shared" si="4"/>
        <x:v>58</x:v>
      </x:c>
      <x:c r="B232" t="str">
        <x:f>IF(VLOOKUP($A232,Assets!$A:$C,2,FALSE)=0,"",VLOOKUP($A232,Assets!$A:$C,2,FALSE))</x:f>
      </x:c>
      <x:c r="C232" t="str">
        <x:f>IF(VLOOKUP($A232,Assets!$A:$C,3,FALSE)=0,"",VLOOKUP($A232,Assets!$A:$C,3,FALSE))</x:f>
      </x:c>
      <x:c r="D232" s="16">
        <x:v>2</x:v>
      </x:c>
      <x:c r="E232" s="20" t="str">
        <x:f>_xlfn.IFNA(VLOOKUP(_xlfn.CONCAT("T",E$1,"V",$D232,"A",$A232),Vulnerabilities!$G:$G,1,FALSE),"")</x:f>
      </x:c>
      <x:c r="F232" s="20" t="str">
        <x:f>_xlfn.IFNA(VLOOKUP(_xlfn.CONCAT("T",F$1,"V",$D232,"A",$A232),Vulnerabilities!$G:$G,1,FALSE),"")</x:f>
      </x:c>
      <x:c r="G232" s="20" t="str">
        <x:f>_xlfn.IFNA(VLOOKUP(_xlfn.CONCAT("T",G$1,"V",$D232,"A",$A232),Vulnerabilities!$G:$G,1,FALSE),"")</x:f>
      </x:c>
      <x:c r="H232" s="20" t="str">
        <x:f>_xlfn.IFNA(VLOOKUP(_xlfn.CONCAT("T",H$1,"V",$D232,"A",$A232),Vulnerabilities!$G:$G,1,FALSE),"")</x:f>
      </x:c>
      <x:c r="I232" s="20" t="str">
        <x:f>_xlfn.IFNA(VLOOKUP(_xlfn.CONCAT("T",I$1,"V",$D232,"A",$A232),Vulnerabilities!$G:$G,1,FALSE),"")</x:f>
      </x:c>
      <x:c r="J232" s="20" t="str">
        <x:f>_xlfn.IFNA(VLOOKUP(_xlfn.CONCAT("T",J$1,"V",$D232,"A",$A232),Vulnerabilities!$G:$G,1,FALSE),"")</x:f>
      </x:c>
      <x:c r="K232" s="20" t="str">
        <x:f>_xlfn.IFNA(VLOOKUP(_xlfn.CONCAT("T",K$1,"V",$D232,"A",$A232),Vulnerabilities!$G:$G,1,FALSE),"")</x:f>
      </x:c>
      <x:c r="L232" s="20" t="str">
        <x:f>_xlfn.IFNA(VLOOKUP(_xlfn.CONCAT("T",L$1,"V",$D232,"A",$A232),Vulnerabilities!$G:$G,1,FALSE),"")</x:f>
      </x:c>
      <x:c r="M232" s="20" t="str">
        <x:f>_xlfn.IFNA(VLOOKUP(_xlfn.CONCAT("T",M$1,"V",$D232,"A",$A232),Vulnerabilities!$G:$G,1,FALSE),"")</x:f>
      </x:c>
      <x:c r="N232" s="20" t="str">
        <x:f>_xlfn.IFNA(VLOOKUP(_xlfn.CONCAT("T",N$1,"V",$D232,"A",$A232),Vulnerabilities!$G:$G,1,FALSE),"")</x:f>
      </x:c>
      <x:c r="O232" s="20" t="str">
        <x:f>_xlfn.IFNA(VLOOKUP(_xlfn.CONCAT("T",O$1,"V",$D232,"A",$A232),Vulnerabilities!$G:$G,1,FALSE),"")</x:f>
      </x:c>
      <x:c r="P232" s="16" t="str">
        <x:f>_xlfn.IFNA(VLOOKUP(_xlfn.CONCAT("T",P$1,"V",$D232,"A",$A232),Vulnerabilities!$G:$G,1,FALSE),"")</x:f>
      </x:c>
    </x:row>
    <x:row r="233">
      <x:c r="A233" s="1">
        <x:f t="shared" si="4"/>
        <x:v>58</x:v>
      </x:c>
      <x:c r="B233" t="str">
        <x:f>IF(VLOOKUP($A233,Assets!$A:$C,2,FALSE)=0,"",VLOOKUP($A233,Assets!$A:$C,2,FALSE))</x:f>
      </x:c>
      <x:c r="C233" t="str">
        <x:f>IF(VLOOKUP($A233,Assets!$A:$C,3,FALSE)=0,"",VLOOKUP($A233,Assets!$A:$C,3,FALSE))</x:f>
      </x:c>
      <x:c r="D233" s="16">
        <x:v>3</x:v>
      </x:c>
      <x:c r="E233" s="20" t="str">
        <x:f>_xlfn.IFNA(VLOOKUP(_xlfn.CONCAT("T",E$1,"V",$D233,"A",$A233),Vulnerabilities!$G:$G,1,FALSE),"")</x:f>
      </x:c>
      <x:c r="F233" s="20" t="str">
        <x:f>_xlfn.IFNA(VLOOKUP(_xlfn.CONCAT("T",F$1,"V",$D233,"A",$A233),Vulnerabilities!$G:$G,1,FALSE),"")</x:f>
      </x:c>
      <x:c r="G233" s="20" t="str">
        <x:f>_xlfn.IFNA(VLOOKUP(_xlfn.CONCAT("T",G$1,"V",$D233,"A",$A233),Vulnerabilities!$G:$G,1,FALSE),"")</x:f>
      </x:c>
      <x:c r="H233" s="20" t="str">
        <x:f>_xlfn.IFNA(VLOOKUP(_xlfn.CONCAT("T",H$1,"V",$D233,"A",$A233),Vulnerabilities!$G:$G,1,FALSE),"")</x:f>
      </x:c>
      <x:c r="I233" s="20" t="str">
        <x:f>_xlfn.IFNA(VLOOKUP(_xlfn.CONCAT("T",I$1,"V",$D233,"A",$A233),Vulnerabilities!$G:$G,1,FALSE),"")</x:f>
      </x:c>
      <x:c r="J233" s="20" t="str">
        <x:f>_xlfn.IFNA(VLOOKUP(_xlfn.CONCAT("T",J$1,"V",$D233,"A",$A233),Vulnerabilities!$G:$G,1,FALSE),"")</x:f>
      </x:c>
      <x:c r="K233" s="20" t="str">
        <x:f>_xlfn.IFNA(VLOOKUP(_xlfn.CONCAT("T",K$1,"V",$D233,"A",$A233),Vulnerabilities!$G:$G,1,FALSE),"")</x:f>
      </x:c>
      <x:c r="L233" s="20" t="str">
        <x:f>_xlfn.IFNA(VLOOKUP(_xlfn.CONCAT("T",L$1,"V",$D233,"A",$A233),Vulnerabilities!$G:$G,1,FALSE),"")</x:f>
      </x:c>
      <x:c r="M233" s="20" t="str">
        <x:f>_xlfn.IFNA(VLOOKUP(_xlfn.CONCAT("T",M$1,"V",$D233,"A",$A233),Vulnerabilities!$G:$G,1,FALSE),"")</x:f>
      </x:c>
      <x:c r="N233" s="20" t="str">
        <x:f>_xlfn.IFNA(VLOOKUP(_xlfn.CONCAT("T",N$1,"V",$D233,"A",$A233),Vulnerabilities!$G:$G,1,FALSE),"")</x:f>
      </x:c>
      <x:c r="O233" s="20" t="str">
        <x:f>_xlfn.IFNA(VLOOKUP(_xlfn.CONCAT("T",O$1,"V",$D233,"A",$A233),Vulnerabilities!$G:$G,1,FALSE),"")</x:f>
      </x:c>
      <x:c r="P233" s="16" t="str">
        <x:f>_xlfn.IFNA(VLOOKUP(_xlfn.CONCAT("T",P$1,"V",$D233,"A",$A233),Vulnerabilities!$G:$G,1,FALSE),"")</x:f>
      </x:c>
    </x:row>
    <x:row r="234">
      <x:c r="A234" s="11">
        <x:f t="shared" si="4"/>
        <x:v>58</x:v>
      </x:c>
      <x:c r="B234" s="12" t="str">
        <x:f>IF(VLOOKUP($A234,Assets!$A:$C,2,FALSE)=0,"",VLOOKUP($A234,Assets!$A:$C,2,FALSE))</x:f>
      </x:c>
      <x:c r="C234" s="12" t="str">
        <x:f>IF(VLOOKUP($A234,Assets!$A:$C,3,FALSE)=0,"",VLOOKUP($A234,Assets!$A:$C,3,FALSE))</x:f>
      </x:c>
      <x:c r="D234" s="17">
        <x:v>4</x:v>
      </x:c>
      <x:c r="E234" s="21" t="str">
        <x:f>_xlfn.IFNA(VLOOKUP(_xlfn.CONCAT("T",E$1,"V",$D234,"A",$A234),Vulnerabilities!$G:$G,1,FALSE),"")</x:f>
      </x:c>
      <x:c r="F234" s="21" t="str">
        <x:f>_xlfn.IFNA(VLOOKUP(_xlfn.CONCAT("T",F$1,"V",$D234,"A",$A234),Vulnerabilities!$G:$G,1,FALSE),"")</x:f>
      </x:c>
      <x:c r="G234" s="21" t="str">
        <x:f>_xlfn.IFNA(VLOOKUP(_xlfn.CONCAT("T",G$1,"V",$D234,"A",$A234),Vulnerabilities!$G:$G,1,FALSE),"")</x:f>
      </x:c>
      <x:c r="H234" s="21" t="str">
        <x:f>_xlfn.IFNA(VLOOKUP(_xlfn.CONCAT("T",H$1,"V",$D234,"A",$A234),Vulnerabilities!$G:$G,1,FALSE),"")</x:f>
      </x:c>
      <x:c r="I234" s="21" t="str">
        <x:f>_xlfn.IFNA(VLOOKUP(_xlfn.CONCAT("T",I$1,"V",$D234,"A",$A234),Vulnerabilities!$G:$G,1,FALSE),"")</x:f>
      </x:c>
      <x:c r="J234" s="21" t="str">
        <x:f>_xlfn.IFNA(VLOOKUP(_xlfn.CONCAT("T",J$1,"V",$D234,"A",$A234),Vulnerabilities!$G:$G,1,FALSE),"")</x:f>
      </x:c>
      <x:c r="K234" s="21" t="str">
        <x:f>_xlfn.IFNA(VLOOKUP(_xlfn.CONCAT("T",K$1,"V",$D234,"A",$A234),Vulnerabilities!$G:$G,1,FALSE),"")</x:f>
      </x:c>
      <x:c r="L234" s="21" t="str">
        <x:f>_xlfn.IFNA(VLOOKUP(_xlfn.CONCAT("T",L$1,"V",$D234,"A",$A234),Vulnerabilities!$G:$G,1,FALSE),"")</x:f>
      </x:c>
      <x:c r="M234" s="21" t="str">
        <x:f>_xlfn.IFNA(VLOOKUP(_xlfn.CONCAT("T",M$1,"V",$D234,"A",$A234),Vulnerabilities!$G:$G,1,FALSE),"")</x:f>
      </x:c>
      <x:c r="N234" s="21" t="str">
        <x:f>_xlfn.IFNA(VLOOKUP(_xlfn.CONCAT("T",N$1,"V",$D234,"A",$A234),Vulnerabilities!$G:$G,1,FALSE),"")</x:f>
      </x:c>
      <x:c r="O234" s="21" t="str">
        <x:f>_xlfn.IFNA(VLOOKUP(_xlfn.CONCAT("T",O$1,"V",$D234,"A",$A234),Vulnerabilities!$G:$G,1,FALSE),"")</x:f>
      </x:c>
      <x:c r="P234" s="17" t="str">
        <x:f>_xlfn.IFNA(VLOOKUP(_xlfn.CONCAT("T",P$1,"V",$D234,"A",$A234),Vulnerabilities!$G:$G,1,FALSE),"")</x:f>
      </x:c>
    </x:row>
    <x:row r="235">
      <x:c r="A235" s="1">
        <x:f t="shared" si="4"/>
        <x:v>59</x:v>
      </x:c>
      <x:c r="B235" t="str">
        <x:f>IF(VLOOKUP($A235,Assets!$A:$C,2,FALSE)=0,"",VLOOKUP($A235,Assets!$A:$C,2,FALSE))</x:f>
      </x:c>
      <x:c r="C235" t="str">
        <x:f>IF(VLOOKUP($A235,Assets!$A:$C,3,FALSE)=0,"",VLOOKUP($A235,Assets!$A:$C,3,FALSE))</x:f>
      </x:c>
      <x:c r="D235" s="16">
        <x:v>1</x:v>
      </x:c>
      <x:c r="E235" s="20" t="str">
        <x:f>_xlfn.IFNA(VLOOKUP(_xlfn.CONCAT("T",E$1,"V",$D235,"A",$A235),Vulnerabilities!$G:$G,1,FALSE),"")</x:f>
      </x:c>
      <x:c r="F235" s="20" t="str">
        <x:f>_xlfn.IFNA(VLOOKUP(_xlfn.CONCAT("T",F$1,"V",$D235,"A",$A235),Vulnerabilities!$G:$G,1,FALSE),"")</x:f>
      </x:c>
      <x:c r="G235" s="20" t="str">
        <x:f>_xlfn.IFNA(VLOOKUP(_xlfn.CONCAT("T",G$1,"V",$D235,"A",$A235),Vulnerabilities!$G:$G,1,FALSE),"")</x:f>
      </x:c>
      <x:c r="H235" s="20" t="str">
        <x:f>_xlfn.IFNA(VLOOKUP(_xlfn.CONCAT("T",H$1,"V",$D235,"A",$A235),Vulnerabilities!$G:$G,1,FALSE),"")</x:f>
      </x:c>
      <x:c r="I235" s="20" t="str">
        <x:f>_xlfn.IFNA(VLOOKUP(_xlfn.CONCAT("T",I$1,"V",$D235,"A",$A235),Vulnerabilities!$G:$G,1,FALSE),"")</x:f>
      </x:c>
      <x:c r="J235" s="20" t="str">
        <x:f>_xlfn.IFNA(VLOOKUP(_xlfn.CONCAT("T",J$1,"V",$D235,"A",$A235),Vulnerabilities!$G:$G,1,FALSE),"")</x:f>
      </x:c>
      <x:c r="K235" s="20" t="str">
        <x:f>_xlfn.IFNA(VLOOKUP(_xlfn.CONCAT("T",K$1,"V",$D235,"A",$A235),Vulnerabilities!$G:$G,1,FALSE),"")</x:f>
      </x:c>
      <x:c r="L235" s="20" t="str">
        <x:f>_xlfn.IFNA(VLOOKUP(_xlfn.CONCAT("T",L$1,"V",$D235,"A",$A235),Vulnerabilities!$G:$G,1,FALSE),"")</x:f>
      </x:c>
      <x:c r="M235" s="20" t="str">
        <x:f>_xlfn.IFNA(VLOOKUP(_xlfn.CONCAT("T",M$1,"V",$D235,"A",$A235),Vulnerabilities!$G:$G,1,FALSE),"")</x:f>
      </x:c>
      <x:c r="N235" s="20" t="str">
        <x:f>_xlfn.IFNA(VLOOKUP(_xlfn.CONCAT("T",N$1,"V",$D235,"A",$A235),Vulnerabilities!$G:$G,1,FALSE),"")</x:f>
      </x:c>
      <x:c r="O235" s="20" t="str">
        <x:f>_xlfn.IFNA(VLOOKUP(_xlfn.CONCAT("T",O$1,"V",$D235,"A",$A235),Vulnerabilities!$G:$G,1,FALSE),"")</x:f>
      </x:c>
      <x:c r="P235" s="16" t="str">
        <x:f>_xlfn.IFNA(VLOOKUP(_xlfn.CONCAT("T",P$1,"V",$D235,"A",$A235),Vulnerabilities!$G:$G,1,FALSE),"")</x:f>
      </x:c>
    </x:row>
    <x:row r="236">
      <x:c r="A236" s="1">
        <x:f t="shared" si="4"/>
        <x:v>59</x:v>
      </x:c>
      <x:c r="B236" t="str">
        <x:f>IF(VLOOKUP($A236,Assets!$A:$C,2,FALSE)=0,"",VLOOKUP($A236,Assets!$A:$C,2,FALSE))</x:f>
      </x:c>
      <x:c r="C236" t="str">
        <x:f>IF(VLOOKUP($A236,Assets!$A:$C,3,FALSE)=0,"",VLOOKUP($A236,Assets!$A:$C,3,FALSE))</x:f>
      </x:c>
      <x:c r="D236" s="16">
        <x:v>2</x:v>
      </x:c>
      <x:c r="E236" s="20" t="str">
        <x:f>_xlfn.IFNA(VLOOKUP(_xlfn.CONCAT("T",E$1,"V",$D236,"A",$A236),Vulnerabilities!$G:$G,1,FALSE),"")</x:f>
      </x:c>
      <x:c r="F236" s="20" t="str">
        <x:f>_xlfn.IFNA(VLOOKUP(_xlfn.CONCAT("T",F$1,"V",$D236,"A",$A236),Vulnerabilities!$G:$G,1,FALSE),"")</x:f>
      </x:c>
      <x:c r="G236" s="20" t="str">
        <x:f>_xlfn.IFNA(VLOOKUP(_xlfn.CONCAT("T",G$1,"V",$D236,"A",$A236),Vulnerabilities!$G:$G,1,FALSE),"")</x:f>
      </x:c>
      <x:c r="H236" s="20" t="str">
        <x:f>_xlfn.IFNA(VLOOKUP(_xlfn.CONCAT("T",H$1,"V",$D236,"A",$A236),Vulnerabilities!$G:$G,1,FALSE),"")</x:f>
      </x:c>
      <x:c r="I236" s="20" t="str">
        <x:f>_xlfn.IFNA(VLOOKUP(_xlfn.CONCAT("T",I$1,"V",$D236,"A",$A236),Vulnerabilities!$G:$G,1,FALSE),"")</x:f>
      </x:c>
      <x:c r="J236" s="20" t="str">
        <x:f>_xlfn.IFNA(VLOOKUP(_xlfn.CONCAT("T",J$1,"V",$D236,"A",$A236),Vulnerabilities!$G:$G,1,FALSE),"")</x:f>
      </x:c>
      <x:c r="K236" s="20" t="str">
        <x:f>_xlfn.IFNA(VLOOKUP(_xlfn.CONCAT("T",K$1,"V",$D236,"A",$A236),Vulnerabilities!$G:$G,1,FALSE),"")</x:f>
      </x:c>
      <x:c r="L236" s="20" t="str">
        <x:f>_xlfn.IFNA(VLOOKUP(_xlfn.CONCAT("T",L$1,"V",$D236,"A",$A236),Vulnerabilities!$G:$G,1,FALSE),"")</x:f>
      </x:c>
      <x:c r="M236" s="20" t="str">
        <x:f>_xlfn.IFNA(VLOOKUP(_xlfn.CONCAT("T",M$1,"V",$D236,"A",$A236),Vulnerabilities!$G:$G,1,FALSE),"")</x:f>
      </x:c>
      <x:c r="N236" s="20" t="str">
        <x:f>_xlfn.IFNA(VLOOKUP(_xlfn.CONCAT("T",N$1,"V",$D236,"A",$A236),Vulnerabilities!$G:$G,1,FALSE),"")</x:f>
      </x:c>
      <x:c r="O236" s="20" t="str">
        <x:f>_xlfn.IFNA(VLOOKUP(_xlfn.CONCAT("T",O$1,"V",$D236,"A",$A236),Vulnerabilities!$G:$G,1,FALSE),"")</x:f>
      </x:c>
      <x:c r="P236" s="16" t="str">
        <x:f>_xlfn.IFNA(VLOOKUP(_xlfn.CONCAT("T",P$1,"V",$D236,"A",$A236),Vulnerabilities!$G:$G,1,FALSE),"")</x:f>
      </x:c>
    </x:row>
    <x:row r="237">
      <x:c r="A237" s="1">
        <x:f t="shared" si="4"/>
        <x:v>59</x:v>
      </x:c>
      <x:c r="B237" t="str">
        <x:f>IF(VLOOKUP($A237,Assets!$A:$C,2,FALSE)=0,"",VLOOKUP($A237,Assets!$A:$C,2,FALSE))</x:f>
      </x:c>
      <x:c r="C237" t="str">
        <x:f>IF(VLOOKUP($A237,Assets!$A:$C,3,FALSE)=0,"",VLOOKUP($A237,Assets!$A:$C,3,FALSE))</x:f>
      </x:c>
      <x:c r="D237" s="16">
        <x:v>3</x:v>
      </x:c>
      <x:c r="E237" s="20" t="str">
        <x:f>_xlfn.IFNA(VLOOKUP(_xlfn.CONCAT("T",E$1,"V",$D237,"A",$A237),Vulnerabilities!$G:$G,1,FALSE),"")</x:f>
      </x:c>
      <x:c r="F237" s="20" t="str">
        <x:f>_xlfn.IFNA(VLOOKUP(_xlfn.CONCAT("T",F$1,"V",$D237,"A",$A237),Vulnerabilities!$G:$G,1,FALSE),"")</x:f>
      </x:c>
      <x:c r="G237" s="20" t="str">
        <x:f>_xlfn.IFNA(VLOOKUP(_xlfn.CONCAT("T",G$1,"V",$D237,"A",$A237),Vulnerabilities!$G:$G,1,FALSE),"")</x:f>
      </x:c>
      <x:c r="H237" s="20" t="str">
        <x:f>_xlfn.IFNA(VLOOKUP(_xlfn.CONCAT("T",H$1,"V",$D237,"A",$A237),Vulnerabilities!$G:$G,1,FALSE),"")</x:f>
      </x:c>
      <x:c r="I237" s="20" t="str">
        <x:f>_xlfn.IFNA(VLOOKUP(_xlfn.CONCAT("T",I$1,"V",$D237,"A",$A237),Vulnerabilities!$G:$G,1,FALSE),"")</x:f>
      </x:c>
      <x:c r="J237" s="20" t="str">
        <x:f>_xlfn.IFNA(VLOOKUP(_xlfn.CONCAT("T",J$1,"V",$D237,"A",$A237),Vulnerabilities!$G:$G,1,FALSE),"")</x:f>
      </x:c>
      <x:c r="K237" s="20" t="str">
        <x:f>_xlfn.IFNA(VLOOKUP(_xlfn.CONCAT("T",K$1,"V",$D237,"A",$A237),Vulnerabilities!$G:$G,1,FALSE),"")</x:f>
      </x:c>
      <x:c r="L237" s="20" t="str">
        <x:f>_xlfn.IFNA(VLOOKUP(_xlfn.CONCAT("T",L$1,"V",$D237,"A",$A237),Vulnerabilities!$G:$G,1,FALSE),"")</x:f>
      </x:c>
      <x:c r="M237" s="20" t="str">
        <x:f>_xlfn.IFNA(VLOOKUP(_xlfn.CONCAT("T",M$1,"V",$D237,"A",$A237),Vulnerabilities!$G:$G,1,FALSE),"")</x:f>
      </x:c>
      <x:c r="N237" s="20" t="str">
        <x:f>_xlfn.IFNA(VLOOKUP(_xlfn.CONCAT("T",N$1,"V",$D237,"A",$A237),Vulnerabilities!$G:$G,1,FALSE),"")</x:f>
      </x:c>
      <x:c r="O237" s="20" t="str">
        <x:f>_xlfn.IFNA(VLOOKUP(_xlfn.CONCAT("T",O$1,"V",$D237,"A",$A237),Vulnerabilities!$G:$G,1,FALSE),"")</x:f>
      </x:c>
      <x:c r="P237" s="16" t="str">
        <x:f>_xlfn.IFNA(VLOOKUP(_xlfn.CONCAT("T",P$1,"V",$D237,"A",$A237),Vulnerabilities!$G:$G,1,FALSE),"")</x:f>
      </x:c>
    </x:row>
    <x:row r="238">
      <x:c r="A238" s="11">
        <x:f t="shared" si="4"/>
        <x:v>59</x:v>
      </x:c>
      <x:c r="B238" s="12" t="str">
        <x:f>IF(VLOOKUP($A238,Assets!$A:$C,2,FALSE)=0,"",VLOOKUP($A238,Assets!$A:$C,2,FALSE))</x:f>
      </x:c>
      <x:c r="C238" s="12" t="str">
        <x:f>IF(VLOOKUP($A238,Assets!$A:$C,3,FALSE)=0,"",VLOOKUP($A238,Assets!$A:$C,3,FALSE))</x:f>
      </x:c>
      <x:c r="D238" s="17">
        <x:v>4</x:v>
      </x:c>
      <x:c r="E238" s="21" t="str">
        <x:f>_xlfn.IFNA(VLOOKUP(_xlfn.CONCAT("T",E$1,"V",$D238,"A",$A238),Vulnerabilities!$G:$G,1,FALSE),"")</x:f>
      </x:c>
      <x:c r="F238" s="21" t="str">
        <x:f>_xlfn.IFNA(VLOOKUP(_xlfn.CONCAT("T",F$1,"V",$D238,"A",$A238),Vulnerabilities!$G:$G,1,FALSE),"")</x:f>
      </x:c>
      <x:c r="G238" s="21" t="str">
        <x:f>_xlfn.IFNA(VLOOKUP(_xlfn.CONCAT("T",G$1,"V",$D238,"A",$A238),Vulnerabilities!$G:$G,1,FALSE),"")</x:f>
      </x:c>
      <x:c r="H238" s="21" t="str">
        <x:f>_xlfn.IFNA(VLOOKUP(_xlfn.CONCAT("T",H$1,"V",$D238,"A",$A238),Vulnerabilities!$G:$G,1,FALSE),"")</x:f>
      </x:c>
      <x:c r="I238" s="21" t="str">
        <x:f>_xlfn.IFNA(VLOOKUP(_xlfn.CONCAT("T",I$1,"V",$D238,"A",$A238),Vulnerabilities!$G:$G,1,FALSE),"")</x:f>
      </x:c>
      <x:c r="J238" s="21" t="str">
        <x:f>_xlfn.IFNA(VLOOKUP(_xlfn.CONCAT("T",J$1,"V",$D238,"A",$A238),Vulnerabilities!$G:$G,1,FALSE),"")</x:f>
      </x:c>
      <x:c r="K238" s="21" t="str">
        <x:f>_xlfn.IFNA(VLOOKUP(_xlfn.CONCAT("T",K$1,"V",$D238,"A",$A238),Vulnerabilities!$G:$G,1,FALSE),"")</x:f>
      </x:c>
      <x:c r="L238" s="21" t="str">
        <x:f>_xlfn.IFNA(VLOOKUP(_xlfn.CONCAT("T",L$1,"V",$D238,"A",$A238),Vulnerabilities!$G:$G,1,FALSE),"")</x:f>
      </x:c>
      <x:c r="M238" s="21" t="str">
        <x:f>_xlfn.IFNA(VLOOKUP(_xlfn.CONCAT("T",M$1,"V",$D238,"A",$A238),Vulnerabilities!$G:$G,1,FALSE),"")</x:f>
      </x:c>
      <x:c r="N238" s="21" t="str">
        <x:f>_xlfn.IFNA(VLOOKUP(_xlfn.CONCAT("T",N$1,"V",$D238,"A",$A238),Vulnerabilities!$G:$G,1,FALSE),"")</x:f>
      </x:c>
      <x:c r="O238" s="21" t="str">
        <x:f>_xlfn.IFNA(VLOOKUP(_xlfn.CONCAT("T",O$1,"V",$D238,"A",$A238),Vulnerabilities!$G:$G,1,FALSE),"")</x:f>
      </x:c>
      <x:c r="P238" s="17" t="str">
        <x:f>_xlfn.IFNA(VLOOKUP(_xlfn.CONCAT("T",P$1,"V",$D238,"A",$A238),Vulnerabilities!$G:$G,1,FALSE),"")</x:f>
      </x:c>
    </x:row>
    <x:row r="239">
      <x:c r="A239" s="1">
        <x:f t="shared" si="4"/>
        <x:v>60</x:v>
      </x:c>
      <x:c r="B239" t="str">
        <x:f>IF(VLOOKUP($A239,Assets!$A:$C,2,FALSE)=0,"",VLOOKUP($A239,Assets!$A:$C,2,FALSE))</x:f>
      </x:c>
      <x:c r="C239" t="str">
        <x:f>IF(VLOOKUP($A239,Assets!$A:$C,3,FALSE)=0,"",VLOOKUP($A239,Assets!$A:$C,3,FALSE))</x:f>
      </x:c>
      <x:c r="D239" s="16">
        <x:v>1</x:v>
      </x:c>
      <x:c r="E239" s="20" t="str">
        <x:f>_xlfn.IFNA(VLOOKUP(_xlfn.CONCAT("T",E$1,"V",$D239,"A",$A239),Vulnerabilities!$G:$G,1,FALSE),"")</x:f>
      </x:c>
      <x:c r="F239" s="20" t="str">
        <x:f>_xlfn.IFNA(VLOOKUP(_xlfn.CONCAT("T",F$1,"V",$D239,"A",$A239),Vulnerabilities!$G:$G,1,FALSE),"")</x:f>
      </x:c>
      <x:c r="G239" s="20" t="str">
        <x:f>_xlfn.IFNA(VLOOKUP(_xlfn.CONCAT("T",G$1,"V",$D239,"A",$A239),Vulnerabilities!$G:$G,1,FALSE),"")</x:f>
      </x:c>
      <x:c r="H239" s="20" t="str">
        <x:f>_xlfn.IFNA(VLOOKUP(_xlfn.CONCAT("T",H$1,"V",$D239,"A",$A239),Vulnerabilities!$G:$G,1,FALSE),"")</x:f>
      </x:c>
      <x:c r="I239" s="20" t="str">
        <x:f>_xlfn.IFNA(VLOOKUP(_xlfn.CONCAT("T",I$1,"V",$D239,"A",$A239),Vulnerabilities!$G:$G,1,FALSE),"")</x:f>
      </x:c>
      <x:c r="J239" s="20" t="str">
        <x:f>_xlfn.IFNA(VLOOKUP(_xlfn.CONCAT("T",J$1,"V",$D239,"A",$A239),Vulnerabilities!$G:$G,1,FALSE),"")</x:f>
      </x:c>
      <x:c r="K239" s="20" t="str">
        <x:f>_xlfn.IFNA(VLOOKUP(_xlfn.CONCAT("T",K$1,"V",$D239,"A",$A239),Vulnerabilities!$G:$G,1,FALSE),"")</x:f>
      </x:c>
      <x:c r="L239" s="20" t="str">
        <x:f>_xlfn.IFNA(VLOOKUP(_xlfn.CONCAT("T",L$1,"V",$D239,"A",$A239),Vulnerabilities!$G:$G,1,FALSE),"")</x:f>
      </x:c>
      <x:c r="M239" s="20" t="str">
        <x:f>_xlfn.IFNA(VLOOKUP(_xlfn.CONCAT("T",M$1,"V",$D239,"A",$A239),Vulnerabilities!$G:$G,1,FALSE),"")</x:f>
      </x:c>
      <x:c r="N239" s="20" t="str">
        <x:f>_xlfn.IFNA(VLOOKUP(_xlfn.CONCAT("T",N$1,"V",$D239,"A",$A239),Vulnerabilities!$G:$G,1,FALSE),"")</x:f>
      </x:c>
      <x:c r="O239" s="20" t="str">
        <x:f>_xlfn.IFNA(VLOOKUP(_xlfn.CONCAT("T",O$1,"V",$D239,"A",$A239),Vulnerabilities!$G:$G,1,FALSE),"")</x:f>
      </x:c>
      <x:c r="P239" s="16" t="str">
        <x:f>_xlfn.IFNA(VLOOKUP(_xlfn.CONCAT("T",P$1,"V",$D239,"A",$A239),Vulnerabilities!$G:$G,1,FALSE),"")</x:f>
      </x:c>
    </x:row>
    <x:row r="240">
      <x:c r="A240" s="1">
        <x:f t="shared" si="4"/>
        <x:v>60</x:v>
      </x:c>
      <x:c r="B240" t="str">
        <x:f>IF(VLOOKUP($A240,Assets!$A:$C,2,FALSE)=0,"",VLOOKUP($A240,Assets!$A:$C,2,FALSE))</x:f>
      </x:c>
      <x:c r="C240" t="str">
        <x:f>IF(VLOOKUP($A240,Assets!$A:$C,3,FALSE)=0,"",VLOOKUP($A240,Assets!$A:$C,3,FALSE))</x:f>
      </x:c>
      <x:c r="D240" s="16">
        <x:v>2</x:v>
      </x:c>
      <x:c r="E240" s="20" t="str">
        <x:f>_xlfn.IFNA(VLOOKUP(_xlfn.CONCAT("T",E$1,"V",$D240,"A",$A240),Vulnerabilities!$G:$G,1,FALSE),"")</x:f>
      </x:c>
      <x:c r="F240" s="20" t="str">
        <x:f>_xlfn.IFNA(VLOOKUP(_xlfn.CONCAT("T",F$1,"V",$D240,"A",$A240),Vulnerabilities!$G:$G,1,FALSE),"")</x:f>
      </x:c>
      <x:c r="G240" s="20" t="str">
        <x:f>_xlfn.IFNA(VLOOKUP(_xlfn.CONCAT("T",G$1,"V",$D240,"A",$A240),Vulnerabilities!$G:$G,1,FALSE),"")</x:f>
      </x:c>
      <x:c r="H240" s="20" t="str">
        <x:f>_xlfn.IFNA(VLOOKUP(_xlfn.CONCAT("T",H$1,"V",$D240,"A",$A240),Vulnerabilities!$G:$G,1,FALSE),"")</x:f>
      </x:c>
      <x:c r="I240" s="20" t="str">
        <x:f>_xlfn.IFNA(VLOOKUP(_xlfn.CONCAT("T",I$1,"V",$D240,"A",$A240),Vulnerabilities!$G:$G,1,FALSE),"")</x:f>
      </x:c>
      <x:c r="J240" s="20" t="str">
        <x:f>_xlfn.IFNA(VLOOKUP(_xlfn.CONCAT("T",J$1,"V",$D240,"A",$A240),Vulnerabilities!$G:$G,1,FALSE),"")</x:f>
      </x:c>
      <x:c r="K240" s="20" t="str">
        <x:f>_xlfn.IFNA(VLOOKUP(_xlfn.CONCAT("T",K$1,"V",$D240,"A",$A240),Vulnerabilities!$G:$G,1,FALSE),"")</x:f>
      </x:c>
      <x:c r="L240" s="20" t="str">
        <x:f>_xlfn.IFNA(VLOOKUP(_xlfn.CONCAT("T",L$1,"V",$D240,"A",$A240),Vulnerabilities!$G:$G,1,FALSE),"")</x:f>
      </x:c>
      <x:c r="M240" s="20" t="str">
        <x:f>_xlfn.IFNA(VLOOKUP(_xlfn.CONCAT("T",M$1,"V",$D240,"A",$A240),Vulnerabilities!$G:$G,1,FALSE),"")</x:f>
      </x:c>
      <x:c r="N240" s="20" t="str">
        <x:f>_xlfn.IFNA(VLOOKUP(_xlfn.CONCAT("T",N$1,"V",$D240,"A",$A240),Vulnerabilities!$G:$G,1,FALSE),"")</x:f>
      </x:c>
      <x:c r="O240" s="20" t="str">
        <x:f>_xlfn.IFNA(VLOOKUP(_xlfn.CONCAT("T",O$1,"V",$D240,"A",$A240),Vulnerabilities!$G:$G,1,FALSE),"")</x:f>
      </x:c>
      <x:c r="P240" s="16" t="str">
        <x:f>_xlfn.IFNA(VLOOKUP(_xlfn.CONCAT("T",P$1,"V",$D240,"A",$A240),Vulnerabilities!$G:$G,1,FALSE),"")</x:f>
      </x:c>
    </x:row>
    <x:row r="241">
      <x:c r="A241" s="1">
        <x:f t="shared" si="4"/>
        <x:v>60</x:v>
      </x:c>
      <x:c r="B241" t="str">
        <x:f>IF(VLOOKUP($A241,Assets!$A:$C,2,FALSE)=0,"",VLOOKUP($A241,Assets!$A:$C,2,FALSE))</x:f>
      </x:c>
      <x:c r="C241" t="str">
        <x:f>IF(VLOOKUP($A241,Assets!$A:$C,3,FALSE)=0,"",VLOOKUP($A241,Assets!$A:$C,3,FALSE))</x:f>
      </x:c>
      <x:c r="D241" s="16">
        <x:v>3</x:v>
      </x:c>
      <x:c r="E241" s="20" t="str">
        <x:f>_xlfn.IFNA(VLOOKUP(_xlfn.CONCAT("T",E$1,"V",$D241,"A",$A241),Vulnerabilities!$G:$G,1,FALSE),"")</x:f>
      </x:c>
      <x:c r="F241" s="20" t="str">
        <x:f>_xlfn.IFNA(VLOOKUP(_xlfn.CONCAT("T",F$1,"V",$D241,"A",$A241),Vulnerabilities!$G:$G,1,FALSE),"")</x:f>
      </x:c>
      <x:c r="G241" s="20" t="str">
        <x:f>_xlfn.IFNA(VLOOKUP(_xlfn.CONCAT("T",G$1,"V",$D241,"A",$A241),Vulnerabilities!$G:$G,1,FALSE),"")</x:f>
      </x:c>
      <x:c r="H241" s="20" t="str">
        <x:f>_xlfn.IFNA(VLOOKUP(_xlfn.CONCAT("T",H$1,"V",$D241,"A",$A241),Vulnerabilities!$G:$G,1,FALSE),"")</x:f>
      </x:c>
      <x:c r="I241" s="20" t="str">
        <x:f>_xlfn.IFNA(VLOOKUP(_xlfn.CONCAT("T",I$1,"V",$D241,"A",$A241),Vulnerabilities!$G:$G,1,FALSE),"")</x:f>
      </x:c>
      <x:c r="J241" s="20" t="str">
        <x:f>_xlfn.IFNA(VLOOKUP(_xlfn.CONCAT("T",J$1,"V",$D241,"A",$A241),Vulnerabilities!$G:$G,1,FALSE),"")</x:f>
      </x:c>
      <x:c r="K241" s="20" t="str">
        <x:f>_xlfn.IFNA(VLOOKUP(_xlfn.CONCAT("T",K$1,"V",$D241,"A",$A241),Vulnerabilities!$G:$G,1,FALSE),"")</x:f>
      </x:c>
      <x:c r="L241" s="20" t="str">
        <x:f>_xlfn.IFNA(VLOOKUP(_xlfn.CONCAT("T",L$1,"V",$D241,"A",$A241),Vulnerabilities!$G:$G,1,FALSE),"")</x:f>
      </x:c>
      <x:c r="M241" s="20" t="str">
        <x:f>_xlfn.IFNA(VLOOKUP(_xlfn.CONCAT("T",M$1,"V",$D241,"A",$A241),Vulnerabilities!$G:$G,1,FALSE),"")</x:f>
      </x:c>
      <x:c r="N241" s="20" t="str">
        <x:f>_xlfn.IFNA(VLOOKUP(_xlfn.CONCAT("T",N$1,"V",$D241,"A",$A241),Vulnerabilities!$G:$G,1,FALSE),"")</x:f>
      </x:c>
      <x:c r="O241" s="20" t="str">
        <x:f>_xlfn.IFNA(VLOOKUP(_xlfn.CONCAT("T",O$1,"V",$D241,"A",$A241),Vulnerabilities!$G:$G,1,FALSE),"")</x:f>
      </x:c>
      <x:c r="P241" s="16" t="str">
        <x:f>_xlfn.IFNA(VLOOKUP(_xlfn.CONCAT("T",P$1,"V",$D241,"A",$A241),Vulnerabilities!$G:$G,1,FALSE),"")</x:f>
      </x:c>
    </x:row>
    <x:row r="242">
      <x:c r="A242" s="11">
        <x:f t="shared" si="4"/>
        <x:v>60</x:v>
      </x:c>
      <x:c r="B242" s="12" t="str">
        <x:f>IF(VLOOKUP($A242,Assets!$A:$C,2,FALSE)=0,"",VLOOKUP($A242,Assets!$A:$C,2,FALSE))</x:f>
      </x:c>
      <x:c r="C242" s="12" t="str">
        <x:f>IF(VLOOKUP($A242,Assets!$A:$C,3,FALSE)=0,"",VLOOKUP($A242,Assets!$A:$C,3,FALSE))</x:f>
      </x:c>
      <x:c r="D242" s="17">
        <x:v>4</x:v>
      </x:c>
      <x:c r="E242" s="21" t="str">
        <x:f>_xlfn.IFNA(VLOOKUP(_xlfn.CONCAT("T",E$1,"V",$D242,"A",$A242),Vulnerabilities!$G:$G,1,FALSE),"")</x:f>
      </x:c>
      <x:c r="F242" s="21" t="str">
        <x:f>_xlfn.IFNA(VLOOKUP(_xlfn.CONCAT("T",F$1,"V",$D242,"A",$A242),Vulnerabilities!$G:$G,1,FALSE),"")</x:f>
      </x:c>
      <x:c r="G242" s="21" t="str">
        <x:f>_xlfn.IFNA(VLOOKUP(_xlfn.CONCAT("T",G$1,"V",$D242,"A",$A242),Vulnerabilities!$G:$G,1,FALSE),"")</x:f>
      </x:c>
      <x:c r="H242" s="21" t="str">
        <x:f>_xlfn.IFNA(VLOOKUP(_xlfn.CONCAT("T",H$1,"V",$D242,"A",$A242),Vulnerabilities!$G:$G,1,FALSE),"")</x:f>
      </x:c>
      <x:c r="I242" s="21" t="str">
        <x:f>_xlfn.IFNA(VLOOKUP(_xlfn.CONCAT("T",I$1,"V",$D242,"A",$A242),Vulnerabilities!$G:$G,1,FALSE),"")</x:f>
      </x:c>
      <x:c r="J242" s="21" t="str">
        <x:f>_xlfn.IFNA(VLOOKUP(_xlfn.CONCAT("T",J$1,"V",$D242,"A",$A242),Vulnerabilities!$G:$G,1,FALSE),"")</x:f>
      </x:c>
      <x:c r="K242" s="21" t="str">
        <x:f>_xlfn.IFNA(VLOOKUP(_xlfn.CONCAT("T",K$1,"V",$D242,"A",$A242),Vulnerabilities!$G:$G,1,FALSE),"")</x:f>
      </x:c>
      <x:c r="L242" s="21" t="str">
        <x:f>_xlfn.IFNA(VLOOKUP(_xlfn.CONCAT("T",L$1,"V",$D242,"A",$A242),Vulnerabilities!$G:$G,1,FALSE),"")</x:f>
      </x:c>
      <x:c r="M242" s="21" t="str">
        <x:f>_xlfn.IFNA(VLOOKUP(_xlfn.CONCAT("T",M$1,"V",$D242,"A",$A242),Vulnerabilities!$G:$G,1,FALSE),"")</x:f>
      </x:c>
      <x:c r="N242" s="21" t="str">
        <x:f>_xlfn.IFNA(VLOOKUP(_xlfn.CONCAT("T",N$1,"V",$D242,"A",$A242),Vulnerabilities!$G:$G,1,FALSE),"")</x:f>
      </x:c>
      <x:c r="O242" s="21" t="str">
        <x:f>_xlfn.IFNA(VLOOKUP(_xlfn.CONCAT("T",O$1,"V",$D242,"A",$A242),Vulnerabilities!$G:$G,1,FALSE),"")</x:f>
      </x:c>
      <x:c r="P242" s="17" t="str">
        <x:f>_xlfn.IFNA(VLOOKUP(_xlfn.CONCAT("T",P$1,"V",$D242,"A",$A242),Vulnerabilities!$G:$G,1,FALSE),"")</x:f>
      </x:c>
    </x:row>
    <x:row r="243">
      <x:c r="A243" s="1">
        <x:f t="shared" si="4"/>
        <x:v>61</x:v>
      </x:c>
      <x:c r="B243" t="str">
        <x:f>IF(VLOOKUP($A243,Assets!$A:$C,2,FALSE)=0,"",VLOOKUP($A243,Assets!$A:$C,2,FALSE))</x:f>
      </x:c>
      <x:c r="C243" t="str">
        <x:f>IF(VLOOKUP($A243,Assets!$A:$C,3,FALSE)=0,"",VLOOKUP($A243,Assets!$A:$C,3,FALSE))</x:f>
      </x:c>
      <x:c r="D243" s="16">
        <x:v>1</x:v>
      </x:c>
      <x:c r="E243" s="20" t="str">
        <x:f>_xlfn.IFNA(VLOOKUP(_xlfn.CONCAT("T",E$1,"V",$D243,"A",$A243),Vulnerabilities!$G:$G,1,FALSE),"")</x:f>
      </x:c>
      <x:c r="F243" s="20" t="str">
        <x:f>_xlfn.IFNA(VLOOKUP(_xlfn.CONCAT("T",F$1,"V",$D243,"A",$A243),Vulnerabilities!$G:$G,1,FALSE),"")</x:f>
      </x:c>
      <x:c r="G243" s="20" t="str">
        <x:f>_xlfn.IFNA(VLOOKUP(_xlfn.CONCAT("T",G$1,"V",$D243,"A",$A243),Vulnerabilities!$G:$G,1,FALSE),"")</x:f>
      </x:c>
      <x:c r="H243" s="20" t="str">
        <x:f>_xlfn.IFNA(VLOOKUP(_xlfn.CONCAT("T",H$1,"V",$D243,"A",$A243),Vulnerabilities!$G:$G,1,FALSE),"")</x:f>
      </x:c>
      <x:c r="I243" s="20" t="str">
        <x:f>_xlfn.IFNA(VLOOKUP(_xlfn.CONCAT("T",I$1,"V",$D243,"A",$A243),Vulnerabilities!$G:$G,1,FALSE),"")</x:f>
      </x:c>
      <x:c r="J243" s="20" t="str">
        <x:f>_xlfn.IFNA(VLOOKUP(_xlfn.CONCAT("T",J$1,"V",$D243,"A",$A243),Vulnerabilities!$G:$G,1,FALSE),"")</x:f>
      </x:c>
      <x:c r="K243" s="20" t="str">
        <x:f>_xlfn.IFNA(VLOOKUP(_xlfn.CONCAT("T",K$1,"V",$D243,"A",$A243),Vulnerabilities!$G:$G,1,FALSE),"")</x:f>
      </x:c>
      <x:c r="L243" s="20" t="str">
        <x:f>_xlfn.IFNA(VLOOKUP(_xlfn.CONCAT("T",L$1,"V",$D243,"A",$A243),Vulnerabilities!$G:$G,1,FALSE),"")</x:f>
      </x:c>
      <x:c r="M243" s="20" t="str">
        <x:f>_xlfn.IFNA(VLOOKUP(_xlfn.CONCAT("T",M$1,"V",$D243,"A",$A243),Vulnerabilities!$G:$G,1,FALSE),"")</x:f>
      </x:c>
      <x:c r="N243" s="20" t="str">
        <x:f>_xlfn.IFNA(VLOOKUP(_xlfn.CONCAT("T",N$1,"V",$D243,"A",$A243),Vulnerabilities!$G:$G,1,FALSE),"")</x:f>
      </x:c>
      <x:c r="O243" s="20" t="str">
        <x:f>_xlfn.IFNA(VLOOKUP(_xlfn.CONCAT("T",O$1,"V",$D243,"A",$A243),Vulnerabilities!$G:$G,1,FALSE),"")</x:f>
      </x:c>
      <x:c r="P243" s="16" t="str">
        <x:f>_xlfn.IFNA(VLOOKUP(_xlfn.CONCAT("T",P$1,"V",$D243,"A",$A243),Vulnerabilities!$G:$G,1,FALSE),"")</x:f>
      </x:c>
    </x:row>
    <x:row r="244">
      <x:c r="A244" s="1">
        <x:f t="shared" si="4"/>
        <x:v>61</x:v>
      </x:c>
      <x:c r="B244" t="str">
        <x:f>IF(VLOOKUP($A244,Assets!$A:$C,2,FALSE)=0,"",VLOOKUP($A244,Assets!$A:$C,2,FALSE))</x:f>
      </x:c>
      <x:c r="C244" t="str">
        <x:f>IF(VLOOKUP($A244,Assets!$A:$C,3,FALSE)=0,"",VLOOKUP($A244,Assets!$A:$C,3,FALSE))</x:f>
      </x:c>
      <x:c r="D244" s="16">
        <x:v>2</x:v>
      </x:c>
      <x:c r="E244" s="20" t="str">
        <x:f>_xlfn.IFNA(VLOOKUP(_xlfn.CONCAT("T",E$1,"V",$D244,"A",$A244),Vulnerabilities!$G:$G,1,FALSE),"")</x:f>
      </x:c>
      <x:c r="F244" s="20" t="str">
        <x:f>_xlfn.IFNA(VLOOKUP(_xlfn.CONCAT("T",F$1,"V",$D244,"A",$A244),Vulnerabilities!$G:$G,1,FALSE),"")</x:f>
      </x:c>
      <x:c r="G244" s="20" t="str">
        <x:f>_xlfn.IFNA(VLOOKUP(_xlfn.CONCAT("T",G$1,"V",$D244,"A",$A244),Vulnerabilities!$G:$G,1,FALSE),"")</x:f>
      </x:c>
      <x:c r="H244" s="20" t="str">
        <x:f>_xlfn.IFNA(VLOOKUP(_xlfn.CONCAT("T",H$1,"V",$D244,"A",$A244),Vulnerabilities!$G:$G,1,FALSE),"")</x:f>
      </x:c>
      <x:c r="I244" s="20" t="str">
        <x:f>_xlfn.IFNA(VLOOKUP(_xlfn.CONCAT("T",I$1,"V",$D244,"A",$A244),Vulnerabilities!$G:$G,1,FALSE),"")</x:f>
      </x:c>
      <x:c r="J244" s="20" t="str">
        <x:f>_xlfn.IFNA(VLOOKUP(_xlfn.CONCAT("T",J$1,"V",$D244,"A",$A244),Vulnerabilities!$G:$G,1,FALSE),"")</x:f>
      </x:c>
      <x:c r="K244" s="20" t="str">
        <x:f>_xlfn.IFNA(VLOOKUP(_xlfn.CONCAT("T",K$1,"V",$D244,"A",$A244),Vulnerabilities!$G:$G,1,FALSE),"")</x:f>
      </x:c>
      <x:c r="L244" s="20" t="str">
        <x:f>_xlfn.IFNA(VLOOKUP(_xlfn.CONCAT("T",L$1,"V",$D244,"A",$A244),Vulnerabilities!$G:$G,1,FALSE),"")</x:f>
      </x:c>
      <x:c r="M244" s="20" t="str">
        <x:f>_xlfn.IFNA(VLOOKUP(_xlfn.CONCAT("T",M$1,"V",$D244,"A",$A244),Vulnerabilities!$G:$G,1,FALSE),"")</x:f>
      </x:c>
      <x:c r="N244" s="20" t="str">
        <x:f>_xlfn.IFNA(VLOOKUP(_xlfn.CONCAT("T",N$1,"V",$D244,"A",$A244),Vulnerabilities!$G:$G,1,FALSE),"")</x:f>
      </x:c>
      <x:c r="O244" s="20" t="str">
        <x:f>_xlfn.IFNA(VLOOKUP(_xlfn.CONCAT("T",O$1,"V",$D244,"A",$A244),Vulnerabilities!$G:$G,1,FALSE),"")</x:f>
      </x:c>
      <x:c r="P244" s="16" t="str">
        <x:f>_xlfn.IFNA(VLOOKUP(_xlfn.CONCAT("T",P$1,"V",$D244,"A",$A244),Vulnerabilities!$G:$G,1,FALSE),"")</x:f>
      </x:c>
    </x:row>
    <x:row r="245">
      <x:c r="A245" s="1">
        <x:f t="shared" si="4"/>
        <x:v>61</x:v>
      </x:c>
      <x:c r="B245" t="str">
        <x:f>IF(VLOOKUP($A245,Assets!$A:$C,2,FALSE)=0,"",VLOOKUP($A245,Assets!$A:$C,2,FALSE))</x:f>
      </x:c>
      <x:c r="C245" t="str">
        <x:f>IF(VLOOKUP($A245,Assets!$A:$C,3,FALSE)=0,"",VLOOKUP($A245,Assets!$A:$C,3,FALSE))</x:f>
      </x:c>
      <x:c r="D245" s="16">
        <x:v>3</x:v>
      </x:c>
      <x:c r="E245" s="20" t="str">
        <x:f>_xlfn.IFNA(VLOOKUP(_xlfn.CONCAT("T",E$1,"V",$D245,"A",$A245),Vulnerabilities!$G:$G,1,FALSE),"")</x:f>
      </x:c>
      <x:c r="F245" s="20" t="str">
        <x:f>_xlfn.IFNA(VLOOKUP(_xlfn.CONCAT("T",F$1,"V",$D245,"A",$A245),Vulnerabilities!$G:$G,1,FALSE),"")</x:f>
      </x:c>
      <x:c r="G245" s="20" t="str">
        <x:f>_xlfn.IFNA(VLOOKUP(_xlfn.CONCAT("T",G$1,"V",$D245,"A",$A245),Vulnerabilities!$G:$G,1,FALSE),"")</x:f>
      </x:c>
      <x:c r="H245" s="20" t="str">
        <x:f>_xlfn.IFNA(VLOOKUP(_xlfn.CONCAT("T",H$1,"V",$D245,"A",$A245),Vulnerabilities!$G:$G,1,FALSE),"")</x:f>
      </x:c>
      <x:c r="I245" s="20" t="str">
        <x:f>_xlfn.IFNA(VLOOKUP(_xlfn.CONCAT("T",I$1,"V",$D245,"A",$A245),Vulnerabilities!$G:$G,1,FALSE),"")</x:f>
      </x:c>
      <x:c r="J245" s="20" t="str">
        <x:f>_xlfn.IFNA(VLOOKUP(_xlfn.CONCAT("T",J$1,"V",$D245,"A",$A245),Vulnerabilities!$G:$G,1,FALSE),"")</x:f>
      </x:c>
      <x:c r="K245" s="20" t="str">
        <x:f>_xlfn.IFNA(VLOOKUP(_xlfn.CONCAT("T",K$1,"V",$D245,"A",$A245),Vulnerabilities!$G:$G,1,FALSE),"")</x:f>
      </x:c>
      <x:c r="L245" s="20" t="str">
        <x:f>_xlfn.IFNA(VLOOKUP(_xlfn.CONCAT("T",L$1,"V",$D245,"A",$A245),Vulnerabilities!$G:$G,1,FALSE),"")</x:f>
      </x:c>
      <x:c r="M245" s="20" t="str">
        <x:f>_xlfn.IFNA(VLOOKUP(_xlfn.CONCAT("T",M$1,"V",$D245,"A",$A245),Vulnerabilities!$G:$G,1,FALSE),"")</x:f>
      </x:c>
      <x:c r="N245" s="20" t="str">
        <x:f>_xlfn.IFNA(VLOOKUP(_xlfn.CONCAT("T",N$1,"V",$D245,"A",$A245),Vulnerabilities!$G:$G,1,FALSE),"")</x:f>
      </x:c>
      <x:c r="O245" s="20" t="str">
        <x:f>_xlfn.IFNA(VLOOKUP(_xlfn.CONCAT("T",O$1,"V",$D245,"A",$A245),Vulnerabilities!$G:$G,1,FALSE),"")</x:f>
      </x:c>
      <x:c r="P245" s="16" t="str">
        <x:f>_xlfn.IFNA(VLOOKUP(_xlfn.CONCAT("T",P$1,"V",$D245,"A",$A245),Vulnerabilities!$G:$G,1,FALSE),"")</x:f>
      </x:c>
    </x:row>
    <x:row r="246">
      <x:c r="A246" s="11">
        <x:f t="shared" si="4"/>
        <x:v>61</x:v>
      </x:c>
      <x:c r="B246" s="12" t="str">
        <x:f>IF(VLOOKUP($A246,Assets!$A:$C,2,FALSE)=0,"",VLOOKUP($A246,Assets!$A:$C,2,FALSE))</x:f>
      </x:c>
      <x:c r="C246" s="12" t="str">
        <x:f>IF(VLOOKUP($A246,Assets!$A:$C,3,FALSE)=0,"",VLOOKUP($A246,Assets!$A:$C,3,FALSE))</x:f>
      </x:c>
      <x:c r="D246" s="17">
        <x:v>4</x:v>
      </x:c>
      <x:c r="E246" s="21" t="str">
        <x:f>_xlfn.IFNA(VLOOKUP(_xlfn.CONCAT("T",E$1,"V",$D246,"A",$A246),Vulnerabilities!$G:$G,1,FALSE),"")</x:f>
      </x:c>
      <x:c r="F246" s="21" t="str">
        <x:f>_xlfn.IFNA(VLOOKUP(_xlfn.CONCAT("T",F$1,"V",$D246,"A",$A246),Vulnerabilities!$G:$G,1,FALSE),"")</x:f>
      </x:c>
      <x:c r="G246" s="21" t="str">
        <x:f>_xlfn.IFNA(VLOOKUP(_xlfn.CONCAT("T",G$1,"V",$D246,"A",$A246),Vulnerabilities!$G:$G,1,FALSE),"")</x:f>
      </x:c>
      <x:c r="H246" s="21" t="str">
        <x:f>_xlfn.IFNA(VLOOKUP(_xlfn.CONCAT("T",H$1,"V",$D246,"A",$A246),Vulnerabilities!$G:$G,1,FALSE),"")</x:f>
      </x:c>
      <x:c r="I246" s="21" t="str">
        <x:f>_xlfn.IFNA(VLOOKUP(_xlfn.CONCAT("T",I$1,"V",$D246,"A",$A246),Vulnerabilities!$G:$G,1,FALSE),"")</x:f>
      </x:c>
      <x:c r="J246" s="21" t="str">
        <x:f>_xlfn.IFNA(VLOOKUP(_xlfn.CONCAT("T",J$1,"V",$D246,"A",$A246),Vulnerabilities!$G:$G,1,FALSE),"")</x:f>
      </x:c>
      <x:c r="K246" s="21" t="str">
        <x:f>_xlfn.IFNA(VLOOKUP(_xlfn.CONCAT("T",K$1,"V",$D246,"A",$A246),Vulnerabilities!$G:$G,1,FALSE),"")</x:f>
      </x:c>
      <x:c r="L246" s="21" t="str">
        <x:f>_xlfn.IFNA(VLOOKUP(_xlfn.CONCAT("T",L$1,"V",$D246,"A",$A246),Vulnerabilities!$G:$G,1,FALSE),"")</x:f>
      </x:c>
      <x:c r="M246" s="21" t="str">
        <x:f>_xlfn.IFNA(VLOOKUP(_xlfn.CONCAT("T",M$1,"V",$D246,"A",$A246),Vulnerabilities!$G:$G,1,FALSE),"")</x:f>
      </x:c>
      <x:c r="N246" s="21" t="str">
        <x:f>_xlfn.IFNA(VLOOKUP(_xlfn.CONCAT("T",N$1,"V",$D246,"A",$A246),Vulnerabilities!$G:$G,1,FALSE),"")</x:f>
      </x:c>
      <x:c r="O246" s="21" t="str">
        <x:f>_xlfn.IFNA(VLOOKUP(_xlfn.CONCAT("T",O$1,"V",$D246,"A",$A246),Vulnerabilities!$G:$G,1,FALSE),"")</x:f>
      </x:c>
      <x:c r="P246" s="17" t="str">
        <x:f>_xlfn.IFNA(VLOOKUP(_xlfn.CONCAT("T",P$1,"V",$D246,"A",$A246),Vulnerabilities!$G:$G,1,FALSE),"")</x:f>
      </x:c>
    </x:row>
    <x:row r="247">
      <x:c r="A247" s="1">
        <x:f t="shared" si="4"/>
        <x:v>62</x:v>
      </x:c>
      <x:c r="B247" t="str">
        <x:f>IF(VLOOKUP($A247,Assets!$A:$C,2,FALSE)=0,"",VLOOKUP($A247,Assets!$A:$C,2,FALSE))</x:f>
      </x:c>
      <x:c r="C247" t="str">
        <x:f>IF(VLOOKUP($A247,Assets!$A:$C,3,FALSE)=0,"",VLOOKUP($A247,Assets!$A:$C,3,FALSE))</x:f>
      </x:c>
      <x:c r="D247" s="16">
        <x:v>1</x:v>
      </x:c>
      <x:c r="E247" s="20" t="str">
        <x:f>_xlfn.IFNA(VLOOKUP(_xlfn.CONCAT("T",E$1,"V",$D247,"A",$A247),Vulnerabilities!$G:$G,1,FALSE),"")</x:f>
      </x:c>
      <x:c r="F247" s="20" t="str">
        <x:f>_xlfn.IFNA(VLOOKUP(_xlfn.CONCAT("T",F$1,"V",$D247,"A",$A247),Vulnerabilities!$G:$G,1,FALSE),"")</x:f>
      </x:c>
      <x:c r="G247" s="20" t="str">
        <x:f>_xlfn.IFNA(VLOOKUP(_xlfn.CONCAT("T",G$1,"V",$D247,"A",$A247),Vulnerabilities!$G:$G,1,FALSE),"")</x:f>
      </x:c>
      <x:c r="H247" s="20" t="str">
        <x:f>_xlfn.IFNA(VLOOKUP(_xlfn.CONCAT("T",H$1,"V",$D247,"A",$A247),Vulnerabilities!$G:$G,1,FALSE),"")</x:f>
      </x:c>
      <x:c r="I247" s="20" t="str">
        <x:f>_xlfn.IFNA(VLOOKUP(_xlfn.CONCAT("T",I$1,"V",$D247,"A",$A247),Vulnerabilities!$G:$G,1,FALSE),"")</x:f>
      </x:c>
      <x:c r="J247" s="20" t="str">
        <x:f>_xlfn.IFNA(VLOOKUP(_xlfn.CONCAT("T",J$1,"V",$D247,"A",$A247),Vulnerabilities!$G:$G,1,FALSE),"")</x:f>
      </x:c>
      <x:c r="K247" s="20" t="str">
        <x:f>_xlfn.IFNA(VLOOKUP(_xlfn.CONCAT("T",K$1,"V",$D247,"A",$A247),Vulnerabilities!$G:$G,1,FALSE),"")</x:f>
      </x:c>
      <x:c r="L247" s="20" t="str">
        <x:f>_xlfn.IFNA(VLOOKUP(_xlfn.CONCAT("T",L$1,"V",$D247,"A",$A247),Vulnerabilities!$G:$G,1,FALSE),"")</x:f>
      </x:c>
      <x:c r="M247" s="20" t="str">
        <x:f>_xlfn.IFNA(VLOOKUP(_xlfn.CONCAT("T",M$1,"V",$D247,"A",$A247),Vulnerabilities!$G:$G,1,FALSE),"")</x:f>
      </x:c>
      <x:c r="N247" s="20" t="str">
        <x:f>_xlfn.IFNA(VLOOKUP(_xlfn.CONCAT("T",N$1,"V",$D247,"A",$A247),Vulnerabilities!$G:$G,1,FALSE),"")</x:f>
      </x:c>
      <x:c r="O247" s="20" t="str">
        <x:f>_xlfn.IFNA(VLOOKUP(_xlfn.CONCAT("T",O$1,"V",$D247,"A",$A247),Vulnerabilities!$G:$G,1,FALSE),"")</x:f>
      </x:c>
      <x:c r="P247" s="16" t="str">
        <x:f>_xlfn.IFNA(VLOOKUP(_xlfn.CONCAT("T",P$1,"V",$D247,"A",$A247),Vulnerabilities!$G:$G,1,FALSE),"")</x:f>
      </x:c>
    </x:row>
    <x:row r="248">
      <x:c r="A248" s="1">
        <x:f t="shared" si="4"/>
        <x:v>62</x:v>
      </x:c>
      <x:c r="B248" t="str">
        <x:f>IF(VLOOKUP($A248,Assets!$A:$C,2,FALSE)=0,"",VLOOKUP($A248,Assets!$A:$C,2,FALSE))</x:f>
      </x:c>
      <x:c r="C248" t="str">
        <x:f>IF(VLOOKUP($A248,Assets!$A:$C,3,FALSE)=0,"",VLOOKUP($A248,Assets!$A:$C,3,FALSE))</x:f>
      </x:c>
      <x:c r="D248" s="16">
        <x:v>2</x:v>
      </x:c>
      <x:c r="E248" s="20" t="str">
        <x:f>_xlfn.IFNA(VLOOKUP(_xlfn.CONCAT("T",E$1,"V",$D248,"A",$A248),Vulnerabilities!$G:$G,1,FALSE),"")</x:f>
      </x:c>
      <x:c r="F248" s="20" t="str">
        <x:f>_xlfn.IFNA(VLOOKUP(_xlfn.CONCAT("T",F$1,"V",$D248,"A",$A248),Vulnerabilities!$G:$G,1,FALSE),"")</x:f>
      </x:c>
      <x:c r="G248" s="20" t="str">
        <x:f>_xlfn.IFNA(VLOOKUP(_xlfn.CONCAT("T",G$1,"V",$D248,"A",$A248),Vulnerabilities!$G:$G,1,FALSE),"")</x:f>
      </x:c>
      <x:c r="H248" s="20" t="str">
        <x:f>_xlfn.IFNA(VLOOKUP(_xlfn.CONCAT("T",H$1,"V",$D248,"A",$A248),Vulnerabilities!$G:$G,1,FALSE),"")</x:f>
      </x:c>
      <x:c r="I248" s="20" t="str">
        <x:f>_xlfn.IFNA(VLOOKUP(_xlfn.CONCAT("T",I$1,"V",$D248,"A",$A248),Vulnerabilities!$G:$G,1,FALSE),"")</x:f>
      </x:c>
      <x:c r="J248" s="20" t="str">
        <x:f>_xlfn.IFNA(VLOOKUP(_xlfn.CONCAT("T",J$1,"V",$D248,"A",$A248),Vulnerabilities!$G:$G,1,FALSE),"")</x:f>
      </x:c>
      <x:c r="K248" s="20" t="str">
        <x:f>_xlfn.IFNA(VLOOKUP(_xlfn.CONCAT("T",K$1,"V",$D248,"A",$A248),Vulnerabilities!$G:$G,1,FALSE),"")</x:f>
      </x:c>
      <x:c r="L248" s="20" t="str">
        <x:f>_xlfn.IFNA(VLOOKUP(_xlfn.CONCAT("T",L$1,"V",$D248,"A",$A248),Vulnerabilities!$G:$G,1,FALSE),"")</x:f>
      </x:c>
      <x:c r="M248" s="20" t="str">
        <x:f>_xlfn.IFNA(VLOOKUP(_xlfn.CONCAT("T",M$1,"V",$D248,"A",$A248),Vulnerabilities!$G:$G,1,FALSE),"")</x:f>
      </x:c>
      <x:c r="N248" s="20" t="str">
        <x:f>_xlfn.IFNA(VLOOKUP(_xlfn.CONCAT("T",N$1,"V",$D248,"A",$A248),Vulnerabilities!$G:$G,1,FALSE),"")</x:f>
      </x:c>
      <x:c r="O248" s="20" t="str">
        <x:f>_xlfn.IFNA(VLOOKUP(_xlfn.CONCAT("T",O$1,"V",$D248,"A",$A248),Vulnerabilities!$G:$G,1,FALSE),"")</x:f>
      </x:c>
      <x:c r="P248" s="16" t="str">
        <x:f>_xlfn.IFNA(VLOOKUP(_xlfn.CONCAT("T",P$1,"V",$D248,"A",$A248),Vulnerabilities!$G:$G,1,FALSE),"")</x:f>
      </x:c>
    </x:row>
    <x:row r="249">
      <x:c r="A249" s="1">
        <x:f t="shared" si="4"/>
        <x:v>62</x:v>
      </x:c>
      <x:c r="B249" t="str">
        <x:f>IF(VLOOKUP($A249,Assets!$A:$C,2,FALSE)=0,"",VLOOKUP($A249,Assets!$A:$C,2,FALSE))</x:f>
      </x:c>
      <x:c r="C249" t="str">
        <x:f>IF(VLOOKUP($A249,Assets!$A:$C,3,FALSE)=0,"",VLOOKUP($A249,Assets!$A:$C,3,FALSE))</x:f>
      </x:c>
      <x:c r="D249" s="16">
        <x:v>3</x:v>
      </x:c>
      <x:c r="E249" s="20" t="str">
        <x:f>_xlfn.IFNA(VLOOKUP(_xlfn.CONCAT("T",E$1,"V",$D249,"A",$A249),Vulnerabilities!$G:$G,1,FALSE),"")</x:f>
      </x:c>
      <x:c r="F249" s="20" t="str">
        <x:f>_xlfn.IFNA(VLOOKUP(_xlfn.CONCAT("T",F$1,"V",$D249,"A",$A249),Vulnerabilities!$G:$G,1,FALSE),"")</x:f>
      </x:c>
      <x:c r="G249" s="20" t="str">
        <x:f>_xlfn.IFNA(VLOOKUP(_xlfn.CONCAT("T",G$1,"V",$D249,"A",$A249),Vulnerabilities!$G:$G,1,FALSE),"")</x:f>
      </x:c>
      <x:c r="H249" s="20" t="str">
        <x:f>_xlfn.IFNA(VLOOKUP(_xlfn.CONCAT("T",H$1,"V",$D249,"A",$A249),Vulnerabilities!$G:$G,1,FALSE),"")</x:f>
      </x:c>
      <x:c r="I249" s="20" t="str">
        <x:f>_xlfn.IFNA(VLOOKUP(_xlfn.CONCAT("T",I$1,"V",$D249,"A",$A249),Vulnerabilities!$G:$G,1,FALSE),"")</x:f>
      </x:c>
      <x:c r="J249" s="20" t="str">
        <x:f>_xlfn.IFNA(VLOOKUP(_xlfn.CONCAT("T",J$1,"V",$D249,"A",$A249),Vulnerabilities!$G:$G,1,FALSE),"")</x:f>
      </x:c>
      <x:c r="K249" s="20" t="str">
        <x:f>_xlfn.IFNA(VLOOKUP(_xlfn.CONCAT("T",K$1,"V",$D249,"A",$A249),Vulnerabilities!$G:$G,1,FALSE),"")</x:f>
      </x:c>
      <x:c r="L249" s="20" t="str">
        <x:f>_xlfn.IFNA(VLOOKUP(_xlfn.CONCAT("T",L$1,"V",$D249,"A",$A249),Vulnerabilities!$G:$G,1,FALSE),"")</x:f>
      </x:c>
      <x:c r="M249" s="20" t="str">
        <x:f>_xlfn.IFNA(VLOOKUP(_xlfn.CONCAT("T",M$1,"V",$D249,"A",$A249),Vulnerabilities!$G:$G,1,FALSE),"")</x:f>
      </x:c>
      <x:c r="N249" s="20" t="str">
        <x:f>_xlfn.IFNA(VLOOKUP(_xlfn.CONCAT("T",N$1,"V",$D249,"A",$A249),Vulnerabilities!$G:$G,1,FALSE),"")</x:f>
      </x:c>
      <x:c r="O249" s="20" t="str">
        <x:f>_xlfn.IFNA(VLOOKUP(_xlfn.CONCAT("T",O$1,"V",$D249,"A",$A249),Vulnerabilities!$G:$G,1,FALSE),"")</x:f>
      </x:c>
      <x:c r="P249" s="16" t="str">
        <x:f>_xlfn.IFNA(VLOOKUP(_xlfn.CONCAT("T",P$1,"V",$D249,"A",$A249),Vulnerabilities!$G:$G,1,FALSE),"")</x:f>
      </x:c>
    </x:row>
    <x:row r="250">
      <x:c r="A250" s="11">
        <x:f t="shared" si="4"/>
        <x:v>62</x:v>
      </x:c>
      <x:c r="B250" s="12" t="str">
        <x:f>IF(VLOOKUP($A250,Assets!$A:$C,2,FALSE)=0,"",VLOOKUP($A250,Assets!$A:$C,2,FALSE))</x:f>
      </x:c>
      <x:c r="C250" s="12" t="str">
        <x:f>IF(VLOOKUP($A250,Assets!$A:$C,3,FALSE)=0,"",VLOOKUP($A250,Assets!$A:$C,3,FALSE))</x:f>
      </x:c>
      <x:c r="D250" s="17">
        <x:v>4</x:v>
      </x:c>
      <x:c r="E250" s="21" t="str">
        <x:f>_xlfn.IFNA(VLOOKUP(_xlfn.CONCAT("T",E$1,"V",$D250,"A",$A250),Vulnerabilities!$G:$G,1,FALSE),"")</x:f>
      </x:c>
      <x:c r="F250" s="21" t="str">
        <x:f>_xlfn.IFNA(VLOOKUP(_xlfn.CONCAT("T",F$1,"V",$D250,"A",$A250),Vulnerabilities!$G:$G,1,FALSE),"")</x:f>
      </x:c>
      <x:c r="G250" s="21" t="str">
        <x:f>_xlfn.IFNA(VLOOKUP(_xlfn.CONCAT("T",G$1,"V",$D250,"A",$A250),Vulnerabilities!$G:$G,1,FALSE),"")</x:f>
      </x:c>
      <x:c r="H250" s="21" t="str">
        <x:f>_xlfn.IFNA(VLOOKUP(_xlfn.CONCAT("T",H$1,"V",$D250,"A",$A250),Vulnerabilities!$G:$G,1,FALSE),"")</x:f>
      </x:c>
      <x:c r="I250" s="21" t="str">
        <x:f>_xlfn.IFNA(VLOOKUP(_xlfn.CONCAT("T",I$1,"V",$D250,"A",$A250),Vulnerabilities!$G:$G,1,FALSE),"")</x:f>
      </x:c>
      <x:c r="J250" s="21" t="str">
        <x:f>_xlfn.IFNA(VLOOKUP(_xlfn.CONCAT("T",J$1,"V",$D250,"A",$A250),Vulnerabilities!$G:$G,1,FALSE),"")</x:f>
      </x:c>
      <x:c r="K250" s="21" t="str">
        <x:f>_xlfn.IFNA(VLOOKUP(_xlfn.CONCAT("T",K$1,"V",$D250,"A",$A250),Vulnerabilities!$G:$G,1,FALSE),"")</x:f>
      </x:c>
      <x:c r="L250" s="21" t="str">
        <x:f>_xlfn.IFNA(VLOOKUP(_xlfn.CONCAT("T",L$1,"V",$D250,"A",$A250),Vulnerabilities!$G:$G,1,FALSE),"")</x:f>
      </x:c>
      <x:c r="M250" s="21" t="str">
        <x:f>_xlfn.IFNA(VLOOKUP(_xlfn.CONCAT("T",M$1,"V",$D250,"A",$A250),Vulnerabilities!$G:$G,1,FALSE),"")</x:f>
      </x:c>
      <x:c r="N250" s="21" t="str">
        <x:f>_xlfn.IFNA(VLOOKUP(_xlfn.CONCAT("T",N$1,"V",$D250,"A",$A250),Vulnerabilities!$G:$G,1,FALSE),"")</x:f>
      </x:c>
      <x:c r="O250" s="21" t="str">
        <x:f>_xlfn.IFNA(VLOOKUP(_xlfn.CONCAT("T",O$1,"V",$D250,"A",$A250),Vulnerabilities!$G:$G,1,FALSE),"")</x:f>
      </x:c>
      <x:c r="P250" s="17" t="str">
        <x:f>_xlfn.IFNA(VLOOKUP(_xlfn.CONCAT("T",P$1,"V",$D250,"A",$A250),Vulnerabilities!$G:$G,1,FALSE),"")</x:f>
      </x:c>
    </x:row>
    <x:row r="251">
      <x:c r="A251" s="1">
        <x:f t="shared" si="4"/>
        <x:v>63</x:v>
      </x:c>
      <x:c r="B251" t="str">
        <x:f>IF(VLOOKUP($A251,Assets!$A:$C,2,FALSE)=0,"",VLOOKUP($A251,Assets!$A:$C,2,FALSE))</x:f>
      </x:c>
      <x:c r="C251" t="str">
        <x:f>IF(VLOOKUP($A251,Assets!$A:$C,3,FALSE)=0,"",VLOOKUP($A251,Assets!$A:$C,3,FALSE))</x:f>
      </x:c>
      <x:c r="D251" s="16">
        <x:v>1</x:v>
      </x:c>
      <x:c r="E251" s="20" t="str">
        <x:f>_xlfn.IFNA(VLOOKUP(_xlfn.CONCAT("T",E$1,"V",$D251,"A",$A251),Vulnerabilities!$G:$G,1,FALSE),"")</x:f>
      </x:c>
      <x:c r="F251" s="20" t="str">
        <x:f>_xlfn.IFNA(VLOOKUP(_xlfn.CONCAT("T",F$1,"V",$D251,"A",$A251),Vulnerabilities!$G:$G,1,FALSE),"")</x:f>
      </x:c>
      <x:c r="G251" s="20" t="str">
        <x:f>_xlfn.IFNA(VLOOKUP(_xlfn.CONCAT("T",G$1,"V",$D251,"A",$A251),Vulnerabilities!$G:$G,1,FALSE),"")</x:f>
      </x:c>
      <x:c r="H251" s="20" t="str">
        <x:f>_xlfn.IFNA(VLOOKUP(_xlfn.CONCAT("T",H$1,"V",$D251,"A",$A251),Vulnerabilities!$G:$G,1,FALSE),"")</x:f>
      </x:c>
      <x:c r="I251" s="20" t="str">
        <x:f>_xlfn.IFNA(VLOOKUP(_xlfn.CONCAT("T",I$1,"V",$D251,"A",$A251),Vulnerabilities!$G:$G,1,FALSE),"")</x:f>
      </x:c>
      <x:c r="J251" s="20" t="str">
        <x:f>_xlfn.IFNA(VLOOKUP(_xlfn.CONCAT("T",J$1,"V",$D251,"A",$A251),Vulnerabilities!$G:$G,1,FALSE),"")</x:f>
      </x:c>
      <x:c r="K251" s="20" t="str">
        <x:f>_xlfn.IFNA(VLOOKUP(_xlfn.CONCAT("T",K$1,"V",$D251,"A",$A251),Vulnerabilities!$G:$G,1,FALSE),"")</x:f>
      </x:c>
      <x:c r="L251" s="20" t="str">
        <x:f>_xlfn.IFNA(VLOOKUP(_xlfn.CONCAT("T",L$1,"V",$D251,"A",$A251),Vulnerabilities!$G:$G,1,FALSE),"")</x:f>
      </x:c>
      <x:c r="M251" s="20" t="str">
        <x:f>_xlfn.IFNA(VLOOKUP(_xlfn.CONCAT("T",M$1,"V",$D251,"A",$A251),Vulnerabilities!$G:$G,1,FALSE),"")</x:f>
      </x:c>
      <x:c r="N251" s="20" t="str">
        <x:f>_xlfn.IFNA(VLOOKUP(_xlfn.CONCAT("T",N$1,"V",$D251,"A",$A251),Vulnerabilities!$G:$G,1,FALSE),"")</x:f>
      </x:c>
      <x:c r="O251" s="20" t="str">
        <x:f>_xlfn.IFNA(VLOOKUP(_xlfn.CONCAT("T",O$1,"V",$D251,"A",$A251),Vulnerabilities!$G:$G,1,FALSE),"")</x:f>
      </x:c>
      <x:c r="P251" s="16" t="str">
        <x:f>_xlfn.IFNA(VLOOKUP(_xlfn.CONCAT("T",P$1,"V",$D251,"A",$A251),Vulnerabilities!$G:$G,1,FALSE),"")</x:f>
      </x:c>
    </x:row>
    <x:row r="252">
      <x:c r="A252" s="1">
        <x:f t="shared" si="4"/>
        <x:v>63</x:v>
      </x:c>
      <x:c r="B252" t="str">
        <x:f>IF(VLOOKUP($A252,Assets!$A:$C,2,FALSE)=0,"",VLOOKUP($A252,Assets!$A:$C,2,FALSE))</x:f>
      </x:c>
      <x:c r="C252" t="str">
        <x:f>IF(VLOOKUP($A252,Assets!$A:$C,3,FALSE)=0,"",VLOOKUP($A252,Assets!$A:$C,3,FALSE))</x:f>
      </x:c>
      <x:c r="D252" s="16">
        <x:v>2</x:v>
      </x:c>
      <x:c r="E252" s="20" t="str">
        <x:f>_xlfn.IFNA(VLOOKUP(_xlfn.CONCAT("T",E$1,"V",$D252,"A",$A252),Vulnerabilities!$G:$G,1,FALSE),"")</x:f>
      </x:c>
      <x:c r="F252" s="20" t="str">
        <x:f>_xlfn.IFNA(VLOOKUP(_xlfn.CONCAT("T",F$1,"V",$D252,"A",$A252),Vulnerabilities!$G:$G,1,FALSE),"")</x:f>
      </x:c>
      <x:c r="G252" s="20" t="str">
        <x:f>_xlfn.IFNA(VLOOKUP(_xlfn.CONCAT("T",G$1,"V",$D252,"A",$A252),Vulnerabilities!$G:$G,1,FALSE),"")</x:f>
      </x:c>
      <x:c r="H252" s="20" t="str">
        <x:f>_xlfn.IFNA(VLOOKUP(_xlfn.CONCAT("T",H$1,"V",$D252,"A",$A252),Vulnerabilities!$G:$G,1,FALSE),"")</x:f>
      </x:c>
      <x:c r="I252" s="20" t="str">
        <x:f>_xlfn.IFNA(VLOOKUP(_xlfn.CONCAT("T",I$1,"V",$D252,"A",$A252),Vulnerabilities!$G:$G,1,FALSE),"")</x:f>
      </x:c>
      <x:c r="J252" s="20" t="str">
        <x:f>_xlfn.IFNA(VLOOKUP(_xlfn.CONCAT("T",J$1,"V",$D252,"A",$A252),Vulnerabilities!$G:$G,1,FALSE),"")</x:f>
      </x:c>
      <x:c r="K252" s="20" t="str">
        <x:f>_xlfn.IFNA(VLOOKUP(_xlfn.CONCAT("T",K$1,"V",$D252,"A",$A252),Vulnerabilities!$G:$G,1,FALSE),"")</x:f>
      </x:c>
      <x:c r="L252" s="20" t="str">
        <x:f>_xlfn.IFNA(VLOOKUP(_xlfn.CONCAT("T",L$1,"V",$D252,"A",$A252),Vulnerabilities!$G:$G,1,FALSE),"")</x:f>
      </x:c>
      <x:c r="M252" s="20" t="str">
        <x:f>_xlfn.IFNA(VLOOKUP(_xlfn.CONCAT("T",M$1,"V",$D252,"A",$A252),Vulnerabilities!$G:$G,1,FALSE),"")</x:f>
      </x:c>
      <x:c r="N252" s="20" t="str">
        <x:f>_xlfn.IFNA(VLOOKUP(_xlfn.CONCAT("T",N$1,"V",$D252,"A",$A252),Vulnerabilities!$G:$G,1,FALSE),"")</x:f>
      </x:c>
      <x:c r="O252" s="20" t="str">
        <x:f>_xlfn.IFNA(VLOOKUP(_xlfn.CONCAT("T",O$1,"V",$D252,"A",$A252),Vulnerabilities!$G:$G,1,FALSE),"")</x:f>
      </x:c>
      <x:c r="P252" s="16" t="str">
        <x:f>_xlfn.IFNA(VLOOKUP(_xlfn.CONCAT("T",P$1,"V",$D252,"A",$A252),Vulnerabilities!$G:$G,1,FALSE),"")</x:f>
      </x:c>
    </x:row>
    <x:row r="253">
      <x:c r="A253" s="1">
        <x:f t="shared" si="4"/>
        <x:v>63</x:v>
      </x:c>
      <x:c r="B253" t="str">
        <x:f>IF(VLOOKUP($A253,Assets!$A:$C,2,FALSE)=0,"",VLOOKUP($A253,Assets!$A:$C,2,FALSE))</x:f>
      </x:c>
      <x:c r="C253" t="str">
        <x:f>IF(VLOOKUP($A253,Assets!$A:$C,3,FALSE)=0,"",VLOOKUP($A253,Assets!$A:$C,3,FALSE))</x:f>
      </x:c>
      <x:c r="D253" s="16">
        <x:v>3</x:v>
      </x:c>
      <x:c r="E253" s="20" t="str">
        <x:f>_xlfn.IFNA(VLOOKUP(_xlfn.CONCAT("T",E$1,"V",$D253,"A",$A253),Vulnerabilities!$G:$G,1,FALSE),"")</x:f>
      </x:c>
      <x:c r="F253" s="20" t="str">
        <x:f>_xlfn.IFNA(VLOOKUP(_xlfn.CONCAT("T",F$1,"V",$D253,"A",$A253),Vulnerabilities!$G:$G,1,FALSE),"")</x:f>
      </x:c>
      <x:c r="G253" s="20" t="str">
        <x:f>_xlfn.IFNA(VLOOKUP(_xlfn.CONCAT("T",G$1,"V",$D253,"A",$A253),Vulnerabilities!$G:$G,1,FALSE),"")</x:f>
      </x:c>
      <x:c r="H253" s="20" t="str">
        <x:f>_xlfn.IFNA(VLOOKUP(_xlfn.CONCAT("T",H$1,"V",$D253,"A",$A253),Vulnerabilities!$G:$G,1,FALSE),"")</x:f>
      </x:c>
      <x:c r="I253" s="20" t="str">
        <x:f>_xlfn.IFNA(VLOOKUP(_xlfn.CONCAT("T",I$1,"V",$D253,"A",$A253),Vulnerabilities!$G:$G,1,FALSE),"")</x:f>
      </x:c>
      <x:c r="J253" s="20" t="str">
        <x:f>_xlfn.IFNA(VLOOKUP(_xlfn.CONCAT("T",J$1,"V",$D253,"A",$A253),Vulnerabilities!$G:$G,1,FALSE),"")</x:f>
      </x:c>
      <x:c r="K253" s="20" t="str">
        <x:f>_xlfn.IFNA(VLOOKUP(_xlfn.CONCAT("T",K$1,"V",$D253,"A",$A253),Vulnerabilities!$G:$G,1,FALSE),"")</x:f>
      </x:c>
      <x:c r="L253" s="20" t="str">
        <x:f>_xlfn.IFNA(VLOOKUP(_xlfn.CONCAT("T",L$1,"V",$D253,"A",$A253),Vulnerabilities!$G:$G,1,FALSE),"")</x:f>
      </x:c>
      <x:c r="M253" s="20" t="str">
        <x:f>_xlfn.IFNA(VLOOKUP(_xlfn.CONCAT("T",M$1,"V",$D253,"A",$A253),Vulnerabilities!$G:$G,1,FALSE),"")</x:f>
      </x:c>
      <x:c r="N253" s="20" t="str">
        <x:f>_xlfn.IFNA(VLOOKUP(_xlfn.CONCAT("T",N$1,"V",$D253,"A",$A253),Vulnerabilities!$G:$G,1,FALSE),"")</x:f>
      </x:c>
      <x:c r="O253" s="20" t="str">
        <x:f>_xlfn.IFNA(VLOOKUP(_xlfn.CONCAT("T",O$1,"V",$D253,"A",$A253),Vulnerabilities!$G:$G,1,FALSE),"")</x:f>
      </x:c>
      <x:c r="P253" s="16" t="str">
        <x:f>_xlfn.IFNA(VLOOKUP(_xlfn.CONCAT("T",P$1,"V",$D253,"A",$A253),Vulnerabilities!$G:$G,1,FALSE),"")</x:f>
      </x:c>
    </x:row>
    <x:row r="254">
      <x:c r="A254" s="11">
        <x:f t="shared" si="4"/>
        <x:v>63</x:v>
      </x:c>
      <x:c r="B254" s="12" t="str">
        <x:f>IF(VLOOKUP($A254,Assets!$A:$C,2,FALSE)=0,"",VLOOKUP($A254,Assets!$A:$C,2,FALSE))</x:f>
      </x:c>
      <x:c r="C254" s="12" t="str">
        <x:f>IF(VLOOKUP($A254,Assets!$A:$C,3,FALSE)=0,"",VLOOKUP($A254,Assets!$A:$C,3,FALSE))</x:f>
      </x:c>
      <x:c r="D254" s="17">
        <x:v>4</x:v>
      </x:c>
      <x:c r="E254" s="21" t="str">
        <x:f>_xlfn.IFNA(VLOOKUP(_xlfn.CONCAT("T",E$1,"V",$D254,"A",$A254),Vulnerabilities!$G:$G,1,FALSE),"")</x:f>
      </x:c>
      <x:c r="F254" s="21" t="str">
        <x:f>_xlfn.IFNA(VLOOKUP(_xlfn.CONCAT("T",F$1,"V",$D254,"A",$A254),Vulnerabilities!$G:$G,1,FALSE),"")</x:f>
      </x:c>
      <x:c r="G254" s="21" t="str">
        <x:f>_xlfn.IFNA(VLOOKUP(_xlfn.CONCAT("T",G$1,"V",$D254,"A",$A254),Vulnerabilities!$G:$G,1,FALSE),"")</x:f>
      </x:c>
      <x:c r="H254" s="21" t="str">
        <x:f>_xlfn.IFNA(VLOOKUP(_xlfn.CONCAT("T",H$1,"V",$D254,"A",$A254),Vulnerabilities!$G:$G,1,FALSE),"")</x:f>
      </x:c>
      <x:c r="I254" s="21" t="str">
        <x:f>_xlfn.IFNA(VLOOKUP(_xlfn.CONCAT("T",I$1,"V",$D254,"A",$A254),Vulnerabilities!$G:$G,1,FALSE),"")</x:f>
      </x:c>
      <x:c r="J254" s="21" t="str">
        <x:f>_xlfn.IFNA(VLOOKUP(_xlfn.CONCAT("T",J$1,"V",$D254,"A",$A254),Vulnerabilities!$G:$G,1,FALSE),"")</x:f>
      </x:c>
      <x:c r="K254" s="21" t="str">
        <x:f>_xlfn.IFNA(VLOOKUP(_xlfn.CONCAT("T",K$1,"V",$D254,"A",$A254),Vulnerabilities!$G:$G,1,FALSE),"")</x:f>
      </x:c>
      <x:c r="L254" s="21" t="str">
        <x:f>_xlfn.IFNA(VLOOKUP(_xlfn.CONCAT("T",L$1,"V",$D254,"A",$A254),Vulnerabilities!$G:$G,1,FALSE),"")</x:f>
      </x:c>
      <x:c r="M254" s="21" t="str">
        <x:f>_xlfn.IFNA(VLOOKUP(_xlfn.CONCAT("T",M$1,"V",$D254,"A",$A254),Vulnerabilities!$G:$G,1,FALSE),"")</x:f>
      </x:c>
      <x:c r="N254" s="21" t="str">
        <x:f>_xlfn.IFNA(VLOOKUP(_xlfn.CONCAT("T",N$1,"V",$D254,"A",$A254),Vulnerabilities!$G:$G,1,FALSE),"")</x:f>
      </x:c>
      <x:c r="O254" s="21" t="str">
        <x:f>_xlfn.IFNA(VLOOKUP(_xlfn.CONCAT("T",O$1,"V",$D254,"A",$A254),Vulnerabilities!$G:$G,1,FALSE),"")</x:f>
      </x:c>
      <x:c r="P254" s="17" t="str">
        <x:f>_xlfn.IFNA(VLOOKUP(_xlfn.CONCAT("T",P$1,"V",$D254,"A",$A254),Vulnerabilities!$G:$G,1,FALSE),"")</x:f>
      </x:c>
    </x:row>
    <x:row r="255">
      <x:c r="A255" s="1">
        <x:f t="shared" si="4"/>
        <x:v>64</x:v>
      </x:c>
      <x:c r="B255" t="str">
        <x:f>IF(VLOOKUP($A255,Assets!$A:$C,2,FALSE)=0,"",VLOOKUP($A255,Assets!$A:$C,2,FALSE))</x:f>
      </x:c>
      <x:c r="C255" t="str">
        <x:f>IF(VLOOKUP($A255,Assets!$A:$C,3,FALSE)=0,"",VLOOKUP($A255,Assets!$A:$C,3,FALSE))</x:f>
      </x:c>
      <x:c r="D255" s="16">
        <x:v>1</x:v>
      </x:c>
      <x:c r="E255" s="20" t="str">
        <x:f>_xlfn.IFNA(VLOOKUP(_xlfn.CONCAT("T",E$1,"V",$D255,"A",$A255),Vulnerabilities!$G:$G,1,FALSE),"")</x:f>
      </x:c>
      <x:c r="F255" s="20" t="str">
        <x:f>_xlfn.IFNA(VLOOKUP(_xlfn.CONCAT("T",F$1,"V",$D255,"A",$A255),Vulnerabilities!$G:$G,1,FALSE),"")</x:f>
      </x:c>
      <x:c r="G255" s="20" t="str">
        <x:f>_xlfn.IFNA(VLOOKUP(_xlfn.CONCAT("T",G$1,"V",$D255,"A",$A255),Vulnerabilities!$G:$G,1,FALSE),"")</x:f>
      </x:c>
      <x:c r="H255" s="20" t="str">
        <x:f>_xlfn.IFNA(VLOOKUP(_xlfn.CONCAT("T",H$1,"V",$D255,"A",$A255),Vulnerabilities!$G:$G,1,FALSE),"")</x:f>
      </x:c>
      <x:c r="I255" s="20" t="str">
        <x:f>_xlfn.IFNA(VLOOKUP(_xlfn.CONCAT("T",I$1,"V",$D255,"A",$A255),Vulnerabilities!$G:$G,1,FALSE),"")</x:f>
      </x:c>
      <x:c r="J255" s="20" t="str">
        <x:f>_xlfn.IFNA(VLOOKUP(_xlfn.CONCAT("T",J$1,"V",$D255,"A",$A255),Vulnerabilities!$G:$G,1,FALSE),"")</x:f>
      </x:c>
      <x:c r="K255" s="20" t="str">
        <x:f>_xlfn.IFNA(VLOOKUP(_xlfn.CONCAT("T",K$1,"V",$D255,"A",$A255),Vulnerabilities!$G:$G,1,FALSE),"")</x:f>
      </x:c>
      <x:c r="L255" s="20" t="str">
        <x:f>_xlfn.IFNA(VLOOKUP(_xlfn.CONCAT("T",L$1,"V",$D255,"A",$A255),Vulnerabilities!$G:$G,1,FALSE),"")</x:f>
      </x:c>
      <x:c r="M255" s="20" t="str">
        <x:f>_xlfn.IFNA(VLOOKUP(_xlfn.CONCAT("T",M$1,"V",$D255,"A",$A255),Vulnerabilities!$G:$G,1,FALSE),"")</x:f>
      </x:c>
      <x:c r="N255" s="20" t="str">
        <x:f>_xlfn.IFNA(VLOOKUP(_xlfn.CONCAT("T",N$1,"V",$D255,"A",$A255),Vulnerabilities!$G:$G,1,FALSE),"")</x:f>
      </x:c>
      <x:c r="O255" s="20" t="str">
        <x:f>_xlfn.IFNA(VLOOKUP(_xlfn.CONCAT("T",O$1,"V",$D255,"A",$A255),Vulnerabilities!$G:$G,1,FALSE),"")</x:f>
      </x:c>
      <x:c r="P255" s="16" t="str">
        <x:f>_xlfn.IFNA(VLOOKUP(_xlfn.CONCAT("T",P$1,"V",$D255,"A",$A255),Vulnerabilities!$G:$G,1,FALSE),"")</x:f>
      </x:c>
    </x:row>
    <x:row r="256">
      <x:c r="A256" s="1">
        <x:f t="shared" si="4"/>
        <x:v>64</x:v>
      </x:c>
      <x:c r="B256" t="str">
        <x:f>IF(VLOOKUP($A256,Assets!$A:$C,2,FALSE)=0,"",VLOOKUP($A256,Assets!$A:$C,2,FALSE))</x:f>
      </x:c>
      <x:c r="C256" t="str">
        <x:f>IF(VLOOKUP($A256,Assets!$A:$C,3,FALSE)=0,"",VLOOKUP($A256,Assets!$A:$C,3,FALSE))</x:f>
      </x:c>
      <x:c r="D256" s="16">
        <x:v>2</x:v>
      </x:c>
      <x:c r="E256" s="20" t="str">
        <x:f>_xlfn.IFNA(VLOOKUP(_xlfn.CONCAT("T",E$1,"V",$D256,"A",$A256),Vulnerabilities!$G:$G,1,FALSE),"")</x:f>
      </x:c>
      <x:c r="F256" s="20" t="str">
        <x:f>_xlfn.IFNA(VLOOKUP(_xlfn.CONCAT("T",F$1,"V",$D256,"A",$A256),Vulnerabilities!$G:$G,1,FALSE),"")</x:f>
      </x:c>
      <x:c r="G256" s="20" t="str">
        <x:f>_xlfn.IFNA(VLOOKUP(_xlfn.CONCAT("T",G$1,"V",$D256,"A",$A256),Vulnerabilities!$G:$G,1,FALSE),"")</x:f>
      </x:c>
      <x:c r="H256" s="20" t="str">
        <x:f>_xlfn.IFNA(VLOOKUP(_xlfn.CONCAT("T",H$1,"V",$D256,"A",$A256),Vulnerabilities!$G:$G,1,FALSE),"")</x:f>
      </x:c>
      <x:c r="I256" s="20" t="str">
        <x:f>_xlfn.IFNA(VLOOKUP(_xlfn.CONCAT("T",I$1,"V",$D256,"A",$A256),Vulnerabilities!$G:$G,1,FALSE),"")</x:f>
      </x:c>
      <x:c r="J256" s="20" t="str">
        <x:f>_xlfn.IFNA(VLOOKUP(_xlfn.CONCAT("T",J$1,"V",$D256,"A",$A256),Vulnerabilities!$G:$G,1,FALSE),"")</x:f>
      </x:c>
      <x:c r="K256" s="20" t="str">
        <x:f>_xlfn.IFNA(VLOOKUP(_xlfn.CONCAT("T",K$1,"V",$D256,"A",$A256),Vulnerabilities!$G:$G,1,FALSE),"")</x:f>
      </x:c>
      <x:c r="L256" s="20" t="str">
        <x:f>_xlfn.IFNA(VLOOKUP(_xlfn.CONCAT("T",L$1,"V",$D256,"A",$A256),Vulnerabilities!$G:$G,1,FALSE),"")</x:f>
      </x:c>
      <x:c r="M256" s="20" t="str">
        <x:f>_xlfn.IFNA(VLOOKUP(_xlfn.CONCAT("T",M$1,"V",$D256,"A",$A256),Vulnerabilities!$G:$G,1,FALSE),"")</x:f>
      </x:c>
      <x:c r="N256" s="20" t="str">
        <x:f>_xlfn.IFNA(VLOOKUP(_xlfn.CONCAT("T",N$1,"V",$D256,"A",$A256),Vulnerabilities!$G:$G,1,FALSE),"")</x:f>
      </x:c>
      <x:c r="O256" s="20" t="str">
        <x:f>_xlfn.IFNA(VLOOKUP(_xlfn.CONCAT("T",O$1,"V",$D256,"A",$A256),Vulnerabilities!$G:$G,1,FALSE),"")</x:f>
      </x:c>
      <x:c r="P256" s="16" t="str">
        <x:f>_xlfn.IFNA(VLOOKUP(_xlfn.CONCAT("T",P$1,"V",$D256,"A",$A256),Vulnerabilities!$G:$G,1,FALSE),"")</x:f>
      </x:c>
    </x:row>
    <x:row r="257">
      <x:c r="A257" s="1">
        <x:f t="shared" si="4"/>
        <x:v>64</x:v>
      </x:c>
      <x:c r="B257" t="str">
        <x:f>IF(VLOOKUP($A257,Assets!$A:$C,2,FALSE)=0,"",VLOOKUP($A257,Assets!$A:$C,2,FALSE))</x:f>
      </x:c>
      <x:c r="C257" t="str">
        <x:f>IF(VLOOKUP($A257,Assets!$A:$C,3,FALSE)=0,"",VLOOKUP($A257,Assets!$A:$C,3,FALSE))</x:f>
      </x:c>
      <x:c r="D257" s="16">
        <x:v>3</x:v>
      </x:c>
      <x:c r="E257" s="20" t="str">
        <x:f>_xlfn.IFNA(VLOOKUP(_xlfn.CONCAT("T",E$1,"V",$D257,"A",$A257),Vulnerabilities!$G:$G,1,FALSE),"")</x:f>
      </x:c>
      <x:c r="F257" s="20" t="str">
        <x:f>_xlfn.IFNA(VLOOKUP(_xlfn.CONCAT("T",F$1,"V",$D257,"A",$A257),Vulnerabilities!$G:$G,1,FALSE),"")</x:f>
      </x:c>
      <x:c r="G257" s="20" t="str">
        <x:f>_xlfn.IFNA(VLOOKUP(_xlfn.CONCAT("T",G$1,"V",$D257,"A",$A257),Vulnerabilities!$G:$G,1,FALSE),"")</x:f>
      </x:c>
      <x:c r="H257" s="20" t="str">
        <x:f>_xlfn.IFNA(VLOOKUP(_xlfn.CONCAT("T",H$1,"V",$D257,"A",$A257),Vulnerabilities!$G:$G,1,FALSE),"")</x:f>
      </x:c>
      <x:c r="I257" s="20" t="str">
        <x:f>_xlfn.IFNA(VLOOKUP(_xlfn.CONCAT("T",I$1,"V",$D257,"A",$A257),Vulnerabilities!$G:$G,1,FALSE),"")</x:f>
      </x:c>
      <x:c r="J257" s="20" t="str">
        <x:f>_xlfn.IFNA(VLOOKUP(_xlfn.CONCAT("T",J$1,"V",$D257,"A",$A257),Vulnerabilities!$G:$G,1,FALSE),"")</x:f>
      </x:c>
      <x:c r="K257" s="20" t="str">
        <x:f>_xlfn.IFNA(VLOOKUP(_xlfn.CONCAT("T",K$1,"V",$D257,"A",$A257),Vulnerabilities!$G:$G,1,FALSE),"")</x:f>
      </x:c>
      <x:c r="L257" s="20" t="str">
        <x:f>_xlfn.IFNA(VLOOKUP(_xlfn.CONCAT("T",L$1,"V",$D257,"A",$A257),Vulnerabilities!$G:$G,1,FALSE),"")</x:f>
      </x:c>
      <x:c r="M257" s="20" t="str">
        <x:f>_xlfn.IFNA(VLOOKUP(_xlfn.CONCAT("T",M$1,"V",$D257,"A",$A257),Vulnerabilities!$G:$G,1,FALSE),"")</x:f>
      </x:c>
      <x:c r="N257" s="20" t="str">
        <x:f>_xlfn.IFNA(VLOOKUP(_xlfn.CONCAT("T",N$1,"V",$D257,"A",$A257),Vulnerabilities!$G:$G,1,FALSE),"")</x:f>
      </x:c>
      <x:c r="O257" s="20" t="str">
        <x:f>_xlfn.IFNA(VLOOKUP(_xlfn.CONCAT("T",O$1,"V",$D257,"A",$A257),Vulnerabilities!$G:$G,1,FALSE),"")</x:f>
      </x:c>
      <x:c r="P257" s="16" t="str">
        <x:f>_xlfn.IFNA(VLOOKUP(_xlfn.CONCAT("T",P$1,"V",$D257,"A",$A257),Vulnerabilities!$G:$G,1,FALSE),"")</x:f>
      </x:c>
    </x:row>
    <x:row r="258">
      <x:c r="A258" s="11">
        <x:f t="shared" si="4"/>
        <x:v>64</x:v>
      </x:c>
      <x:c r="B258" s="12" t="str">
        <x:f>IF(VLOOKUP($A258,Assets!$A:$C,2,FALSE)=0,"",VLOOKUP($A258,Assets!$A:$C,2,FALSE))</x:f>
      </x:c>
      <x:c r="C258" s="12" t="str">
        <x:f>IF(VLOOKUP($A258,Assets!$A:$C,3,FALSE)=0,"",VLOOKUP($A258,Assets!$A:$C,3,FALSE))</x:f>
      </x:c>
      <x:c r="D258" s="17">
        <x:v>4</x:v>
      </x:c>
      <x:c r="E258" s="21" t="str">
        <x:f>_xlfn.IFNA(VLOOKUP(_xlfn.CONCAT("T",E$1,"V",$D258,"A",$A258),Vulnerabilities!$G:$G,1,FALSE),"")</x:f>
      </x:c>
      <x:c r="F258" s="21" t="str">
        <x:f>_xlfn.IFNA(VLOOKUP(_xlfn.CONCAT("T",F$1,"V",$D258,"A",$A258),Vulnerabilities!$G:$G,1,FALSE),"")</x:f>
      </x:c>
      <x:c r="G258" s="21" t="str">
        <x:f>_xlfn.IFNA(VLOOKUP(_xlfn.CONCAT("T",G$1,"V",$D258,"A",$A258),Vulnerabilities!$G:$G,1,FALSE),"")</x:f>
      </x:c>
      <x:c r="H258" s="21" t="str">
        <x:f>_xlfn.IFNA(VLOOKUP(_xlfn.CONCAT("T",H$1,"V",$D258,"A",$A258),Vulnerabilities!$G:$G,1,FALSE),"")</x:f>
      </x:c>
      <x:c r="I258" s="21" t="str">
        <x:f>_xlfn.IFNA(VLOOKUP(_xlfn.CONCAT("T",I$1,"V",$D258,"A",$A258),Vulnerabilities!$G:$G,1,FALSE),"")</x:f>
      </x:c>
      <x:c r="J258" s="21" t="str">
        <x:f>_xlfn.IFNA(VLOOKUP(_xlfn.CONCAT("T",J$1,"V",$D258,"A",$A258),Vulnerabilities!$G:$G,1,FALSE),"")</x:f>
      </x:c>
      <x:c r="K258" s="21" t="str">
        <x:f>_xlfn.IFNA(VLOOKUP(_xlfn.CONCAT("T",K$1,"V",$D258,"A",$A258),Vulnerabilities!$G:$G,1,FALSE),"")</x:f>
      </x:c>
      <x:c r="L258" s="21" t="str">
        <x:f>_xlfn.IFNA(VLOOKUP(_xlfn.CONCAT("T",L$1,"V",$D258,"A",$A258),Vulnerabilities!$G:$G,1,FALSE),"")</x:f>
      </x:c>
      <x:c r="M258" s="21" t="str">
        <x:f>_xlfn.IFNA(VLOOKUP(_xlfn.CONCAT("T",M$1,"V",$D258,"A",$A258),Vulnerabilities!$G:$G,1,FALSE),"")</x:f>
      </x:c>
      <x:c r="N258" s="21" t="str">
        <x:f>_xlfn.IFNA(VLOOKUP(_xlfn.CONCAT("T",N$1,"V",$D258,"A",$A258),Vulnerabilities!$G:$G,1,FALSE),"")</x:f>
      </x:c>
      <x:c r="O258" s="21" t="str">
        <x:f>_xlfn.IFNA(VLOOKUP(_xlfn.CONCAT("T",O$1,"V",$D258,"A",$A258),Vulnerabilities!$G:$G,1,FALSE),"")</x:f>
      </x:c>
      <x:c r="P258" s="17" t="str">
        <x:f>_xlfn.IFNA(VLOOKUP(_xlfn.CONCAT("T",P$1,"V",$D258,"A",$A258),Vulnerabilities!$G:$G,1,FALSE),"")</x:f>
      </x:c>
    </x:row>
    <x:row r="259">
      <x:c r="A259" s="1">
        <x:f t="shared" si="4"/>
        <x:v>65</x:v>
      </x:c>
      <x:c r="B259" t="str">
        <x:f>IF(VLOOKUP($A259,Assets!$A:$C,2,FALSE)=0,"",VLOOKUP($A259,Assets!$A:$C,2,FALSE))</x:f>
      </x:c>
      <x:c r="C259" t="str">
        <x:f>IF(VLOOKUP($A259,Assets!$A:$C,3,FALSE)=0,"",VLOOKUP($A259,Assets!$A:$C,3,FALSE))</x:f>
      </x:c>
      <x:c r="D259" s="16">
        <x:v>1</x:v>
      </x:c>
      <x:c r="E259" s="20" t="str">
        <x:f>_xlfn.IFNA(VLOOKUP(_xlfn.CONCAT("T",E$1,"V",$D259,"A",$A259),Vulnerabilities!$G:$G,1,FALSE),"")</x:f>
      </x:c>
      <x:c r="F259" s="20" t="str">
        <x:f>_xlfn.IFNA(VLOOKUP(_xlfn.CONCAT("T",F$1,"V",$D259,"A",$A259),Vulnerabilities!$G:$G,1,FALSE),"")</x:f>
      </x:c>
      <x:c r="G259" s="20" t="str">
        <x:f>_xlfn.IFNA(VLOOKUP(_xlfn.CONCAT("T",G$1,"V",$D259,"A",$A259),Vulnerabilities!$G:$G,1,FALSE),"")</x:f>
      </x:c>
      <x:c r="H259" s="20" t="str">
        <x:f>_xlfn.IFNA(VLOOKUP(_xlfn.CONCAT("T",H$1,"V",$D259,"A",$A259),Vulnerabilities!$G:$G,1,FALSE),"")</x:f>
      </x:c>
      <x:c r="I259" s="20" t="str">
        <x:f>_xlfn.IFNA(VLOOKUP(_xlfn.CONCAT("T",I$1,"V",$D259,"A",$A259),Vulnerabilities!$G:$G,1,FALSE),"")</x:f>
      </x:c>
      <x:c r="J259" s="20" t="str">
        <x:f>_xlfn.IFNA(VLOOKUP(_xlfn.CONCAT("T",J$1,"V",$D259,"A",$A259),Vulnerabilities!$G:$G,1,FALSE),"")</x:f>
      </x:c>
      <x:c r="K259" s="20" t="str">
        <x:f>_xlfn.IFNA(VLOOKUP(_xlfn.CONCAT("T",K$1,"V",$D259,"A",$A259),Vulnerabilities!$G:$G,1,FALSE),"")</x:f>
      </x:c>
      <x:c r="L259" s="20" t="str">
        <x:f>_xlfn.IFNA(VLOOKUP(_xlfn.CONCAT("T",L$1,"V",$D259,"A",$A259),Vulnerabilities!$G:$G,1,FALSE),"")</x:f>
      </x:c>
      <x:c r="M259" s="20" t="str">
        <x:f>_xlfn.IFNA(VLOOKUP(_xlfn.CONCAT("T",M$1,"V",$D259,"A",$A259),Vulnerabilities!$G:$G,1,FALSE),"")</x:f>
      </x:c>
      <x:c r="N259" s="20" t="str">
        <x:f>_xlfn.IFNA(VLOOKUP(_xlfn.CONCAT("T",N$1,"V",$D259,"A",$A259),Vulnerabilities!$G:$G,1,FALSE),"")</x:f>
      </x:c>
      <x:c r="O259" s="20" t="str">
        <x:f>_xlfn.IFNA(VLOOKUP(_xlfn.CONCAT("T",O$1,"V",$D259,"A",$A259),Vulnerabilities!$G:$G,1,FALSE),"")</x:f>
      </x:c>
      <x:c r="P259" s="16" t="str">
        <x:f>_xlfn.IFNA(VLOOKUP(_xlfn.CONCAT("T",P$1,"V",$D259,"A",$A259),Vulnerabilities!$G:$G,1,FALSE),"")</x:f>
      </x:c>
    </x:row>
    <x:row r="260">
      <x:c r="A260" s="1">
        <x:f t="shared" si="4"/>
        <x:v>65</x:v>
      </x:c>
      <x:c r="B260" t="str">
        <x:f>IF(VLOOKUP($A260,Assets!$A:$C,2,FALSE)=0,"",VLOOKUP($A260,Assets!$A:$C,2,FALSE))</x:f>
      </x:c>
      <x:c r="C260" t="str">
        <x:f>IF(VLOOKUP($A260,Assets!$A:$C,3,FALSE)=0,"",VLOOKUP($A260,Assets!$A:$C,3,FALSE))</x:f>
      </x:c>
      <x:c r="D260" s="16">
        <x:v>2</x:v>
      </x:c>
      <x:c r="E260" s="20" t="str">
        <x:f>_xlfn.IFNA(VLOOKUP(_xlfn.CONCAT("T",E$1,"V",$D260,"A",$A260),Vulnerabilities!$G:$G,1,FALSE),"")</x:f>
      </x:c>
      <x:c r="F260" s="20" t="str">
        <x:f>_xlfn.IFNA(VLOOKUP(_xlfn.CONCAT("T",F$1,"V",$D260,"A",$A260),Vulnerabilities!$G:$G,1,FALSE),"")</x:f>
      </x:c>
      <x:c r="G260" s="20" t="str">
        <x:f>_xlfn.IFNA(VLOOKUP(_xlfn.CONCAT("T",G$1,"V",$D260,"A",$A260),Vulnerabilities!$G:$G,1,FALSE),"")</x:f>
      </x:c>
      <x:c r="H260" s="20" t="str">
        <x:f>_xlfn.IFNA(VLOOKUP(_xlfn.CONCAT("T",H$1,"V",$D260,"A",$A260),Vulnerabilities!$G:$G,1,FALSE),"")</x:f>
      </x:c>
      <x:c r="I260" s="20" t="str">
        <x:f>_xlfn.IFNA(VLOOKUP(_xlfn.CONCAT("T",I$1,"V",$D260,"A",$A260),Vulnerabilities!$G:$G,1,FALSE),"")</x:f>
      </x:c>
      <x:c r="J260" s="20" t="str">
        <x:f>_xlfn.IFNA(VLOOKUP(_xlfn.CONCAT("T",J$1,"V",$D260,"A",$A260),Vulnerabilities!$G:$G,1,FALSE),"")</x:f>
      </x:c>
      <x:c r="K260" s="20" t="str">
        <x:f>_xlfn.IFNA(VLOOKUP(_xlfn.CONCAT("T",K$1,"V",$D260,"A",$A260),Vulnerabilities!$G:$G,1,FALSE),"")</x:f>
      </x:c>
      <x:c r="L260" s="20" t="str">
        <x:f>_xlfn.IFNA(VLOOKUP(_xlfn.CONCAT("T",L$1,"V",$D260,"A",$A260),Vulnerabilities!$G:$G,1,FALSE),"")</x:f>
      </x:c>
      <x:c r="M260" s="20" t="str">
        <x:f>_xlfn.IFNA(VLOOKUP(_xlfn.CONCAT("T",M$1,"V",$D260,"A",$A260),Vulnerabilities!$G:$G,1,FALSE),"")</x:f>
      </x:c>
      <x:c r="N260" s="20" t="str">
        <x:f>_xlfn.IFNA(VLOOKUP(_xlfn.CONCAT("T",N$1,"V",$D260,"A",$A260),Vulnerabilities!$G:$G,1,FALSE),"")</x:f>
      </x:c>
      <x:c r="O260" s="20" t="str">
        <x:f>_xlfn.IFNA(VLOOKUP(_xlfn.CONCAT("T",O$1,"V",$D260,"A",$A260),Vulnerabilities!$G:$G,1,FALSE),"")</x:f>
      </x:c>
      <x:c r="P260" s="16" t="str">
        <x:f>_xlfn.IFNA(VLOOKUP(_xlfn.CONCAT("T",P$1,"V",$D260,"A",$A260),Vulnerabilities!$G:$G,1,FALSE),"")</x:f>
      </x:c>
    </x:row>
    <x:row r="261">
      <x:c r="A261" s="1">
        <x:f t="shared" si="4"/>
        <x:v>65</x:v>
      </x:c>
      <x:c r="B261" t="str">
        <x:f>IF(VLOOKUP($A261,Assets!$A:$C,2,FALSE)=0,"",VLOOKUP($A261,Assets!$A:$C,2,FALSE))</x:f>
      </x:c>
      <x:c r="C261" t="str">
        <x:f>IF(VLOOKUP($A261,Assets!$A:$C,3,FALSE)=0,"",VLOOKUP($A261,Assets!$A:$C,3,FALSE))</x:f>
      </x:c>
      <x:c r="D261" s="16">
        <x:v>3</x:v>
      </x:c>
      <x:c r="E261" s="20" t="str">
        <x:f>_xlfn.IFNA(VLOOKUP(_xlfn.CONCAT("T",E$1,"V",$D261,"A",$A261),Vulnerabilities!$G:$G,1,FALSE),"")</x:f>
      </x:c>
      <x:c r="F261" s="20" t="str">
        <x:f>_xlfn.IFNA(VLOOKUP(_xlfn.CONCAT("T",F$1,"V",$D261,"A",$A261),Vulnerabilities!$G:$G,1,FALSE),"")</x:f>
      </x:c>
      <x:c r="G261" s="20" t="str">
        <x:f>_xlfn.IFNA(VLOOKUP(_xlfn.CONCAT("T",G$1,"V",$D261,"A",$A261),Vulnerabilities!$G:$G,1,FALSE),"")</x:f>
      </x:c>
      <x:c r="H261" s="20" t="str">
        <x:f>_xlfn.IFNA(VLOOKUP(_xlfn.CONCAT("T",H$1,"V",$D261,"A",$A261),Vulnerabilities!$G:$G,1,FALSE),"")</x:f>
      </x:c>
      <x:c r="I261" s="20" t="str">
        <x:f>_xlfn.IFNA(VLOOKUP(_xlfn.CONCAT("T",I$1,"V",$D261,"A",$A261),Vulnerabilities!$G:$G,1,FALSE),"")</x:f>
      </x:c>
      <x:c r="J261" s="20" t="str">
        <x:f>_xlfn.IFNA(VLOOKUP(_xlfn.CONCAT("T",J$1,"V",$D261,"A",$A261),Vulnerabilities!$G:$G,1,FALSE),"")</x:f>
      </x:c>
      <x:c r="K261" s="20" t="str">
        <x:f>_xlfn.IFNA(VLOOKUP(_xlfn.CONCAT("T",K$1,"V",$D261,"A",$A261),Vulnerabilities!$G:$G,1,FALSE),"")</x:f>
      </x:c>
      <x:c r="L261" s="20" t="str">
        <x:f>_xlfn.IFNA(VLOOKUP(_xlfn.CONCAT("T",L$1,"V",$D261,"A",$A261),Vulnerabilities!$G:$G,1,FALSE),"")</x:f>
      </x:c>
      <x:c r="M261" s="20" t="str">
        <x:f>_xlfn.IFNA(VLOOKUP(_xlfn.CONCAT("T",M$1,"V",$D261,"A",$A261),Vulnerabilities!$G:$G,1,FALSE),"")</x:f>
      </x:c>
      <x:c r="N261" s="20" t="str">
        <x:f>_xlfn.IFNA(VLOOKUP(_xlfn.CONCAT("T",N$1,"V",$D261,"A",$A261),Vulnerabilities!$G:$G,1,FALSE),"")</x:f>
      </x:c>
      <x:c r="O261" s="20" t="str">
        <x:f>_xlfn.IFNA(VLOOKUP(_xlfn.CONCAT("T",O$1,"V",$D261,"A",$A261),Vulnerabilities!$G:$G,1,FALSE),"")</x:f>
      </x:c>
      <x:c r="P261" s="16" t="str">
        <x:f>_xlfn.IFNA(VLOOKUP(_xlfn.CONCAT("T",P$1,"V",$D261,"A",$A261),Vulnerabilities!$G:$G,1,FALSE),"")</x:f>
      </x:c>
    </x:row>
    <x:row r="262">
      <x:c r="A262" s="11">
        <x:f t="shared" si="4"/>
        <x:v>65</x:v>
      </x:c>
      <x:c r="B262" s="12" t="str">
        <x:f>IF(VLOOKUP($A262,Assets!$A:$C,2,FALSE)=0,"",VLOOKUP($A262,Assets!$A:$C,2,FALSE))</x:f>
      </x:c>
      <x:c r="C262" s="12" t="str">
        <x:f>IF(VLOOKUP($A262,Assets!$A:$C,3,FALSE)=0,"",VLOOKUP($A262,Assets!$A:$C,3,FALSE))</x:f>
      </x:c>
      <x:c r="D262" s="17">
        <x:v>4</x:v>
      </x:c>
      <x:c r="E262" s="21" t="str">
        <x:f>_xlfn.IFNA(VLOOKUP(_xlfn.CONCAT("T",E$1,"V",$D262,"A",$A262),Vulnerabilities!$G:$G,1,FALSE),"")</x:f>
      </x:c>
      <x:c r="F262" s="21" t="str">
        <x:f>_xlfn.IFNA(VLOOKUP(_xlfn.CONCAT("T",F$1,"V",$D262,"A",$A262),Vulnerabilities!$G:$G,1,FALSE),"")</x:f>
      </x:c>
      <x:c r="G262" s="21" t="str">
        <x:f>_xlfn.IFNA(VLOOKUP(_xlfn.CONCAT("T",G$1,"V",$D262,"A",$A262),Vulnerabilities!$G:$G,1,FALSE),"")</x:f>
      </x:c>
      <x:c r="H262" s="21" t="str">
        <x:f>_xlfn.IFNA(VLOOKUP(_xlfn.CONCAT("T",H$1,"V",$D262,"A",$A262),Vulnerabilities!$G:$G,1,FALSE),"")</x:f>
      </x:c>
      <x:c r="I262" s="21" t="str">
        <x:f>_xlfn.IFNA(VLOOKUP(_xlfn.CONCAT("T",I$1,"V",$D262,"A",$A262),Vulnerabilities!$G:$G,1,FALSE),"")</x:f>
      </x:c>
      <x:c r="J262" s="21" t="str">
        <x:f>_xlfn.IFNA(VLOOKUP(_xlfn.CONCAT("T",J$1,"V",$D262,"A",$A262),Vulnerabilities!$G:$G,1,FALSE),"")</x:f>
      </x:c>
      <x:c r="K262" s="21" t="str">
        <x:f>_xlfn.IFNA(VLOOKUP(_xlfn.CONCAT("T",K$1,"V",$D262,"A",$A262),Vulnerabilities!$G:$G,1,FALSE),"")</x:f>
      </x:c>
      <x:c r="L262" s="21" t="str">
        <x:f>_xlfn.IFNA(VLOOKUP(_xlfn.CONCAT("T",L$1,"V",$D262,"A",$A262),Vulnerabilities!$G:$G,1,FALSE),"")</x:f>
      </x:c>
      <x:c r="M262" s="21" t="str">
        <x:f>_xlfn.IFNA(VLOOKUP(_xlfn.CONCAT("T",M$1,"V",$D262,"A",$A262),Vulnerabilities!$G:$G,1,FALSE),"")</x:f>
      </x:c>
      <x:c r="N262" s="21" t="str">
        <x:f>_xlfn.IFNA(VLOOKUP(_xlfn.CONCAT("T",N$1,"V",$D262,"A",$A262),Vulnerabilities!$G:$G,1,FALSE),"")</x:f>
      </x:c>
      <x:c r="O262" s="21" t="str">
        <x:f>_xlfn.IFNA(VLOOKUP(_xlfn.CONCAT("T",O$1,"V",$D262,"A",$A262),Vulnerabilities!$G:$G,1,FALSE),"")</x:f>
      </x:c>
      <x:c r="P262" s="17" t="str">
        <x:f>_xlfn.IFNA(VLOOKUP(_xlfn.CONCAT("T",P$1,"V",$D262,"A",$A262),Vulnerabilities!$G:$G,1,FALSE),"")</x:f>
      </x:c>
    </x:row>
    <x:row r="263">
      <x:c r="A263" s="1">
        <x:f t="shared" si="4"/>
        <x:v>66</x:v>
      </x:c>
      <x:c r="B263" t="str">
        <x:f>IF(VLOOKUP($A263,Assets!$A:$C,2,FALSE)=0,"",VLOOKUP($A263,Assets!$A:$C,2,FALSE))</x:f>
      </x:c>
      <x:c r="C263" t="str">
        <x:f>IF(VLOOKUP($A263,Assets!$A:$C,3,FALSE)=0,"",VLOOKUP($A263,Assets!$A:$C,3,FALSE))</x:f>
      </x:c>
      <x:c r="D263" s="16">
        <x:v>1</x:v>
      </x:c>
      <x:c r="E263" s="20" t="str">
        <x:f>_xlfn.IFNA(VLOOKUP(_xlfn.CONCAT("T",E$1,"V",$D263,"A",$A263),Vulnerabilities!$G:$G,1,FALSE),"")</x:f>
      </x:c>
      <x:c r="F263" s="20" t="str">
        <x:f>_xlfn.IFNA(VLOOKUP(_xlfn.CONCAT("T",F$1,"V",$D263,"A",$A263),Vulnerabilities!$G:$G,1,FALSE),"")</x:f>
      </x:c>
      <x:c r="G263" s="20" t="str">
        <x:f>_xlfn.IFNA(VLOOKUP(_xlfn.CONCAT("T",G$1,"V",$D263,"A",$A263),Vulnerabilities!$G:$G,1,FALSE),"")</x:f>
      </x:c>
      <x:c r="H263" s="20" t="str">
        <x:f>_xlfn.IFNA(VLOOKUP(_xlfn.CONCAT("T",H$1,"V",$D263,"A",$A263),Vulnerabilities!$G:$G,1,FALSE),"")</x:f>
      </x:c>
      <x:c r="I263" s="20" t="str">
        <x:f>_xlfn.IFNA(VLOOKUP(_xlfn.CONCAT("T",I$1,"V",$D263,"A",$A263),Vulnerabilities!$G:$G,1,FALSE),"")</x:f>
      </x:c>
      <x:c r="J263" s="20" t="str">
        <x:f>_xlfn.IFNA(VLOOKUP(_xlfn.CONCAT("T",J$1,"V",$D263,"A",$A263),Vulnerabilities!$G:$G,1,FALSE),"")</x:f>
      </x:c>
      <x:c r="K263" s="20" t="str">
        <x:f>_xlfn.IFNA(VLOOKUP(_xlfn.CONCAT("T",K$1,"V",$D263,"A",$A263),Vulnerabilities!$G:$G,1,FALSE),"")</x:f>
      </x:c>
      <x:c r="L263" s="20" t="str">
        <x:f>_xlfn.IFNA(VLOOKUP(_xlfn.CONCAT("T",L$1,"V",$D263,"A",$A263),Vulnerabilities!$G:$G,1,FALSE),"")</x:f>
      </x:c>
      <x:c r="M263" s="20" t="str">
        <x:f>_xlfn.IFNA(VLOOKUP(_xlfn.CONCAT("T",M$1,"V",$D263,"A",$A263),Vulnerabilities!$G:$G,1,FALSE),"")</x:f>
      </x:c>
      <x:c r="N263" s="20" t="str">
        <x:f>_xlfn.IFNA(VLOOKUP(_xlfn.CONCAT("T",N$1,"V",$D263,"A",$A263),Vulnerabilities!$G:$G,1,FALSE),"")</x:f>
      </x:c>
      <x:c r="O263" s="20" t="str">
        <x:f>_xlfn.IFNA(VLOOKUP(_xlfn.CONCAT("T",O$1,"V",$D263,"A",$A263),Vulnerabilities!$G:$G,1,FALSE),"")</x:f>
      </x:c>
      <x:c r="P263" s="16" t="str">
        <x:f>_xlfn.IFNA(VLOOKUP(_xlfn.CONCAT("T",P$1,"V",$D263,"A",$A263),Vulnerabilities!$G:$G,1,FALSE),"")</x:f>
      </x:c>
    </x:row>
    <x:row r="264">
      <x:c r="A264" s="1">
        <x:f t="shared" si="4"/>
        <x:v>66</x:v>
      </x:c>
      <x:c r="B264" t="str">
        <x:f>IF(VLOOKUP($A264,Assets!$A:$C,2,FALSE)=0,"",VLOOKUP($A264,Assets!$A:$C,2,FALSE))</x:f>
      </x:c>
      <x:c r="C264" t="str">
        <x:f>IF(VLOOKUP($A264,Assets!$A:$C,3,FALSE)=0,"",VLOOKUP($A264,Assets!$A:$C,3,FALSE))</x:f>
      </x:c>
      <x:c r="D264" s="16">
        <x:v>2</x:v>
      </x:c>
      <x:c r="E264" s="20" t="str">
        <x:f>_xlfn.IFNA(VLOOKUP(_xlfn.CONCAT("T",E$1,"V",$D264,"A",$A264),Vulnerabilities!$G:$G,1,FALSE),"")</x:f>
      </x:c>
      <x:c r="F264" s="20" t="str">
        <x:f>_xlfn.IFNA(VLOOKUP(_xlfn.CONCAT("T",F$1,"V",$D264,"A",$A264),Vulnerabilities!$G:$G,1,FALSE),"")</x:f>
      </x:c>
      <x:c r="G264" s="20" t="str">
        <x:f>_xlfn.IFNA(VLOOKUP(_xlfn.CONCAT("T",G$1,"V",$D264,"A",$A264),Vulnerabilities!$G:$G,1,FALSE),"")</x:f>
      </x:c>
      <x:c r="H264" s="20" t="str">
        <x:f>_xlfn.IFNA(VLOOKUP(_xlfn.CONCAT("T",H$1,"V",$D264,"A",$A264),Vulnerabilities!$G:$G,1,FALSE),"")</x:f>
      </x:c>
      <x:c r="I264" s="20" t="str">
        <x:f>_xlfn.IFNA(VLOOKUP(_xlfn.CONCAT("T",I$1,"V",$D264,"A",$A264),Vulnerabilities!$G:$G,1,FALSE),"")</x:f>
      </x:c>
      <x:c r="J264" s="20" t="str">
        <x:f>_xlfn.IFNA(VLOOKUP(_xlfn.CONCAT("T",J$1,"V",$D264,"A",$A264),Vulnerabilities!$G:$G,1,FALSE),"")</x:f>
      </x:c>
      <x:c r="K264" s="20" t="str">
        <x:f>_xlfn.IFNA(VLOOKUP(_xlfn.CONCAT("T",K$1,"V",$D264,"A",$A264),Vulnerabilities!$G:$G,1,FALSE),"")</x:f>
      </x:c>
      <x:c r="L264" s="20" t="str">
        <x:f>_xlfn.IFNA(VLOOKUP(_xlfn.CONCAT("T",L$1,"V",$D264,"A",$A264),Vulnerabilities!$G:$G,1,FALSE),"")</x:f>
      </x:c>
      <x:c r="M264" s="20" t="str">
        <x:f>_xlfn.IFNA(VLOOKUP(_xlfn.CONCAT("T",M$1,"V",$D264,"A",$A264),Vulnerabilities!$G:$G,1,FALSE),"")</x:f>
      </x:c>
      <x:c r="N264" s="20" t="str">
        <x:f>_xlfn.IFNA(VLOOKUP(_xlfn.CONCAT("T",N$1,"V",$D264,"A",$A264),Vulnerabilities!$G:$G,1,FALSE),"")</x:f>
      </x:c>
      <x:c r="O264" s="20" t="str">
        <x:f>_xlfn.IFNA(VLOOKUP(_xlfn.CONCAT("T",O$1,"V",$D264,"A",$A264),Vulnerabilities!$G:$G,1,FALSE),"")</x:f>
      </x:c>
      <x:c r="P264" s="16" t="str">
        <x:f>_xlfn.IFNA(VLOOKUP(_xlfn.CONCAT("T",P$1,"V",$D264,"A",$A264),Vulnerabilities!$G:$G,1,FALSE),"")</x:f>
      </x:c>
    </x:row>
    <x:row r="265">
      <x:c r="A265" s="1">
        <x:f t="shared" si="4"/>
        <x:v>66</x:v>
      </x:c>
      <x:c r="B265" t="str">
        <x:f>IF(VLOOKUP($A265,Assets!$A:$C,2,FALSE)=0,"",VLOOKUP($A265,Assets!$A:$C,2,FALSE))</x:f>
      </x:c>
      <x:c r="C265" t="str">
        <x:f>IF(VLOOKUP($A265,Assets!$A:$C,3,FALSE)=0,"",VLOOKUP($A265,Assets!$A:$C,3,FALSE))</x:f>
      </x:c>
      <x:c r="D265" s="16">
        <x:v>3</x:v>
      </x:c>
      <x:c r="E265" s="20" t="str">
        <x:f>_xlfn.IFNA(VLOOKUP(_xlfn.CONCAT("T",E$1,"V",$D265,"A",$A265),Vulnerabilities!$G:$G,1,FALSE),"")</x:f>
      </x:c>
      <x:c r="F265" s="20" t="str">
        <x:f>_xlfn.IFNA(VLOOKUP(_xlfn.CONCAT("T",F$1,"V",$D265,"A",$A265),Vulnerabilities!$G:$G,1,FALSE),"")</x:f>
      </x:c>
      <x:c r="G265" s="20" t="str">
        <x:f>_xlfn.IFNA(VLOOKUP(_xlfn.CONCAT("T",G$1,"V",$D265,"A",$A265),Vulnerabilities!$G:$G,1,FALSE),"")</x:f>
      </x:c>
      <x:c r="H265" s="20" t="str">
        <x:f>_xlfn.IFNA(VLOOKUP(_xlfn.CONCAT("T",H$1,"V",$D265,"A",$A265),Vulnerabilities!$G:$G,1,FALSE),"")</x:f>
      </x:c>
      <x:c r="I265" s="20" t="str">
        <x:f>_xlfn.IFNA(VLOOKUP(_xlfn.CONCAT("T",I$1,"V",$D265,"A",$A265),Vulnerabilities!$G:$G,1,FALSE),"")</x:f>
      </x:c>
      <x:c r="J265" s="20" t="str">
        <x:f>_xlfn.IFNA(VLOOKUP(_xlfn.CONCAT("T",J$1,"V",$D265,"A",$A265),Vulnerabilities!$G:$G,1,FALSE),"")</x:f>
      </x:c>
      <x:c r="K265" s="20" t="str">
        <x:f>_xlfn.IFNA(VLOOKUP(_xlfn.CONCAT("T",K$1,"V",$D265,"A",$A265),Vulnerabilities!$G:$G,1,FALSE),"")</x:f>
      </x:c>
      <x:c r="L265" s="20" t="str">
        <x:f>_xlfn.IFNA(VLOOKUP(_xlfn.CONCAT("T",L$1,"V",$D265,"A",$A265),Vulnerabilities!$G:$G,1,FALSE),"")</x:f>
      </x:c>
      <x:c r="M265" s="20" t="str">
        <x:f>_xlfn.IFNA(VLOOKUP(_xlfn.CONCAT("T",M$1,"V",$D265,"A",$A265),Vulnerabilities!$G:$G,1,FALSE),"")</x:f>
      </x:c>
      <x:c r="N265" s="20" t="str">
        <x:f>_xlfn.IFNA(VLOOKUP(_xlfn.CONCAT("T",N$1,"V",$D265,"A",$A265),Vulnerabilities!$G:$G,1,FALSE),"")</x:f>
      </x:c>
      <x:c r="O265" s="20" t="str">
        <x:f>_xlfn.IFNA(VLOOKUP(_xlfn.CONCAT("T",O$1,"V",$D265,"A",$A265),Vulnerabilities!$G:$G,1,FALSE),"")</x:f>
      </x:c>
      <x:c r="P265" s="16" t="str">
        <x:f>_xlfn.IFNA(VLOOKUP(_xlfn.CONCAT("T",P$1,"V",$D265,"A",$A265),Vulnerabilities!$G:$G,1,FALSE),"")</x:f>
      </x:c>
    </x:row>
    <x:row r="266">
      <x:c r="A266" s="11">
        <x:f t="shared" si="4"/>
        <x:v>66</x:v>
      </x:c>
      <x:c r="B266" s="12" t="str">
        <x:f>IF(VLOOKUP($A266,Assets!$A:$C,2,FALSE)=0,"",VLOOKUP($A266,Assets!$A:$C,2,FALSE))</x:f>
      </x:c>
      <x:c r="C266" s="12" t="str">
        <x:f>IF(VLOOKUP($A266,Assets!$A:$C,3,FALSE)=0,"",VLOOKUP($A266,Assets!$A:$C,3,FALSE))</x:f>
      </x:c>
      <x:c r="D266" s="17">
        <x:v>4</x:v>
      </x:c>
      <x:c r="E266" s="21" t="str">
        <x:f>_xlfn.IFNA(VLOOKUP(_xlfn.CONCAT("T",E$1,"V",$D266,"A",$A266),Vulnerabilities!$G:$G,1,FALSE),"")</x:f>
      </x:c>
      <x:c r="F266" s="21" t="str">
        <x:f>_xlfn.IFNA(VLOOKUP(_xlfn.CONCAT("T",F$1,"V",$D266,"A",$A266),Vulnerabilities!$G:$G,1,FALSE),"")</x:f>
      </x:c>
      <x:c r="G266" s="21" t="str">
        <x:f>_xlfn.IFNA(VLOOKUP(_xlfn.CONCAT("T",G$1,"V",$D266,"A",$A266),Vulnerabilities!$G:$G,1,FALSE),"")</x:f>
      </x:c>
      <x:c r="H266" s="21" t="str">
        <x:f>_xlfn.IFNA(VLOOKUP(_xlfn.CONCAT("T",H$1,"V",$D266,"A",$A266),Vulnerabilities!$G:$G,1,FALSE),"")</x:f>
      </x:c>
      <x:c r="I266" s="21" t="str">
        <x:f>_xlfn.IFNA(VLOOKUP(_xlfn.CONCAT("T",I$1,"V",$D266,"A",$A266),Vulnerabilities!$G:$G,1,FALSE),"")</x:f>
      </x:c>
      <x:c r="J266" s="21" t="str">
        <x:f>_xlfn.IFNA(VLOOKUP(_xlfn.CONCAT("T",J$1,"V",$D266,"A",$A266),Vulnerabilities!$G:$G,1,FALSE),"")</x:f>
      </x:c>
      <x:c r="K266" s="21" t="str">
        <x:f>_xlfn.IFNA(VLOOKUP(_xlfn.CONCAT("T",K$1,"V",$D266,"A",$A266),Vulnerabilities!$G:$G,1,FALSE),"")</x:f>
      </x:c>
      <x:c r="L266" s="21" t="str">
        <x:f>_xlfn.IFNA(VLOOKUP(_xlfn.CONCAT("T",L$1,"V",$D266,"A",$A266),Vulnerabilities!$G:$G,1,FALSE),"")</x:f>
      </x:c>
      <x:c r="M266" s="21" t="str">
        <x:f>_xlfn.IFNA(VLOOKUP(_xlfn.CONCAT("T",M$1,"V",$D266,"A",$A266),Vulnerabilities!$G:$G,1,FALSE),"")</x:f>
      </x:c>
      <x:c r="N266" s="21" t="str">
        <x:f>_xlfn.IFNA(VLOOKUP(_xlfn.CONCAT("T",N$1,"V",$D266,"A",$A266),Vulnerabilities!$G:$G,1,FALSE),"")</x:f>
      </x:c>
      <x:c r="O266" s="21" t="str">
        <x:f>_xlfn.IFNA(VLOOKUP(_xlfn.CONCAT("T",O$1,"V",$D266,"A",$A266),Vulnerabilities!$G:$G,1,FALSE),"")</x:f>
      </x:c>
      <x:c r="P266" s="17" t="str">
        <x:f>_xlfn.IFNA(VLOOKUP(_xlfn.CONCAT("T",P$1,"V",$D266,"A",$A266),Vulnerabilities!$G:$G,1,FALSE),"")</x:f>
      </x:c>
    </x:row>
    <x:row r="267">
      <x:c r="A267" s="1">
        <x:f t="shared" si="4"/>
        <x:v>67</x:v>
      </x:c>
      <x:c r="B267" t="str">
        <x:f>IF(VLOOKUP($A267,Assets!$A:$C,2,FALSE)=0,"",VLOOKUP($A267,Assets!$A:$C,2,FALSE))</x:f>
      </x:c>
      <x:c r="C267" t="str">
        <x:f>IF(VLOOKUP($A267,Assets!$A:$C,3,FALSE)=0,"",VLOOKUP($A267,Assets!$A:$C,3,FALSE))</x:f>
      </x:c>
      <x:c r="D267" s="16">
        <x:v>1</x:v>
      </x:c>
      <x:c r="E267" s="20" t="str">
        <x:f>_xlfn.IFNA(VLOOKUP(_xlfn.CONCAT("T",E$1,"V",$D267,"A",$A267),Vulnerabilities!$G:$G,1,FALSE),"")</x:f>
      </x:c>
      <x:c r="F267" s="20" t="str">
        <x:f>_xlfn.IFNA(VLOOKUP(_xlfn.CONCAT("T",F$1,"V",$D267,"A",$A267),Vulnerabilities!$G:$G,1,FALSE),"")</x:f>
      </x:c>
      <x:c r="G267" s="20" t="str">
        <x:f>_xlfn.IFNA(VLOOKUP(_xlfn.CONCAT("T",G$1,"V",$D267,"A",$A267),Vulnerabilities!$G:$G,1,FALSE),"")</x:f>
      </x:c>
      <x:c r="H267" s="20" t="str">
        <x:f>_xlfn.IFNA(VLOOKUP(_xlfn.CONCAT("T",H$1,"V",$D267,"A",$A267),Vulnerabilities!$G:$G,1,FALSE),"")</x:f>
      </x:c>
      <x:c r="I267" s="20" t="str">
        <x:f>_xlfn.IFNA(VLOOKUP(_xlfn.CONCAT("T",I$1,"V",$D267,"A",$A267),Vulnerabilities!$G:$G,1,FALSE),"")</x:f>
      </x:c>
      <x:c r="J267" s="20" t="str">
        <x:f>_xlfn.IFNA(VLOOKUP(_xlfn.CONCAT("T",J$1,"V",$D267,"A",$A267),Vulnerabilities!$G:$G,1,FALSE),"")</x:f>
      </x:c>
      <x:c r="K267" s="20" t="str">
        <x:f>_xlfn.IFNA(VLOOKUP(_xlfn.CONCAT("T",K$1,"V",$D267,"A",$A267),Vulnerabilities!$G:$G,1,FALSE),"")</x:f>
      </x:c>
      <x:c r="L267" s="20" t="str">
        <x:f>_xlfn.IFNA(VLOOKUP(_xlfn.CONCAT("T",L$1,"V",$D267,"A",$A267),Vulnerabilities!$G:$G,1,FALSE),"")</x:f>
      </x:c>
      <x:c r="M267" s="20" t="str">
        <x:f>_xlfn.IFNA(VLOOKUP(_xlfn.CONCAT("T",M$1,"V",$D267,"A",$A267),Vulnerabilities!$G:$G,1,FALSE),"")</x:f>
      </x:c>
      <x:c r="N267" s="20" t="str">
        <x:f>_xlfn.IFNA(VLOOKUP(_xlfn.CONCAT("T",N$1,"V",$D267,"A",$A267),Vulnerabilities!$G:$G,1,FALSE),"")</x:f>
      </x:c>
      <x:c r="O267" s="20" t="str">
        <x:f>_xlfn.IFNA(VLOOKUP(_xlfn.CONCAT("T",O$1,"V",$D267,"A",$A267),Vulnerabilities!$G:$G,1,FALSE),"")</x:f>
      </x:c>
      <x:c r="P267" s="16" t="str">
        <x:f>_xlfn.IFNA(VLOOKUP(_xlfn.CONCAT("T",P$1,"V",$D267,"A",$A267),Vulnerabilities!$G:$G,1,FALSE),"")</x:f>
      </x:c>
    </x:row>
    <x:row r="268">
      <x:c r="A268" s="1">
        <x:f t="shared" si="4"/>
        <x:v>67</x:v>
      </x:c>
      <x:c r="B268" t="str">
        <x:f>IF(VLOOKUP($A268,Assets!$A:$C,2,FALSE)=0,"",VLOOKUP($A268,Assets!$A:$C,2,FALSE))</x:f>
      </x:c>
      <x:c r="C268" t="str">
        <x:f>IF(VLOOKUP($A268,Assets!$A:$C,3,FALSE)=0,"",VLOOKUP($A268,Assets!$A:$C,3,FALSE))</x:f>
      </x:c>
      <x:c r="D268" s="16">
        <x:v>2</x:v>
      </x:c>
      <x:c r="E268" s="20" t="str">
        <x:f>_xlfn.IFNA(VLOOKUP(_xlfn.CONCAT("T",E$1,"V",$D268,"A",$A268),Vulnerabilities!$G:$G,1,FALSE),"")</x:f>
      </x:c>
      <x:c r="F268" s="20" t="str">
        <x:f>_xlfn.IFNA(VLOOKUP(_xlfn.CONCAT("T",F$1,"V",$D268,"A",$A268),Vulnerabilities!$G:$G,1,FALSE),"")</x:f>
      </x:c>
      <x:c r="G268" s="20" t="str">
        <x:f>_xlfn.IFNA(VLOOKUP(_xlfn.CONCAT("T",G$1,"V",$D268,"A",$A268),Vulnerabilities!$G:$G,1,FALSE),"")</x:f>
      </x:c>
      <x:c r="H268" s="20" t="str">
        <x:f>_xlfn.IFNA(VLOOKUP(_xlfn.CONCAT("T",H$1,"V",$D268,"A",$A268),Vulnerabilities!$G:$G,1,FALSE),"")</x:f>
      </x:c>
      <x:c r="I268" s="20" t="str">
        <x:f>_xlfn.IFNA(VLOOKUP(_xlfn.CONCAT("T",I$1,"V",$D268,"A",$A268),Vulnerabilities!$G:$G,1,FALSE),"")</x:f>
      </x:c>
      <x:c r="J268" s="20" t="str">
        <x:f>_xlfn.IFNA(VLOOKUP(_xlfn.CONCAT("T",J$1,"V",$D268,"A",$A268),Vulnerabilities!$G:$G,1,FALSE),"")</x:f>
      </x:c>
      <x:c r="K268" s="20" t="str">
        <x:f>_xlfn.IFNA(VLOOKUP(_xlfn.CONCAT("T",K$1,"V",$D268,"A",$A268),Vulnerabilities!$G:$G,1,FALSE),"")</x:f>
      </x:c>
      <x:c r="L268" s="20" t="str">
        <x:f>_xlfn.IFNA(VLOOKUP(_xlfn.CONCAT("T",L$1,"V",$D268,"A",$A268),Vulnerabilities!$G:$G,1,FALSE),"")</x:f>
      </x:c>
      <x:c r="M268" s="20" t="str">
        <x:f>_xlfn.IFNA(VLOOKUP(_xlfn.CONCAT("T",M$1,"V",$D268,"A",$A268),Vulnerabilities!$G:$G,1,FALSE),"")</x:f>
      </x:c>
      <x:c r="N268" s="20" t="str">
        <x:f>_xlfn.IFNA(VLOOKUP(_xlfn.CONCAT("T",N$1,"V",$D268,"A",$A268),Vulnerabilities!$G:$G,1,FALSE),"")</x:f>
      </x:c>
      <x:c r="O268" s="20" t="str">
        <x:f>_xlfn.IFNA(VLOOKUP(_xlfn.CONCAT("T",O$1,"V",$D268,"A",$A268),Vulnerabilities!$G:$G,1,FALSE),"")</x:f>
      </x:c>
      <x:c r="P268" s="16" t="str">
        <x:f>_xlfn.IFNA(VLOOKUP(_xlfn.CONCAT("T",P$1,"V",$D268,"A",$A268),Vulnerabilities!$G:$G,1,FALSE),"")</x:f>
      </x:c>
    </x:row>
    <x:row r="269">
      <x:c r="A269" s="1">
        <x:f t="shared" si="4"/>
        <x:v>67</x:v>
      </x:c>
      <x:c r="B269" t="str">
        <x:f>IF(VLOOKUP($A269,Assets!$A:$C,2,FALSE)=0,"",VLOOKUP($A269,Assets!$A:$C,2,FALSE))</x:f>
      </x:c>
      <x:c r="C269" t="str">
        <x:f>IF(VLOOKUP($A269,Assets!$A:$C,3,FALSE)=0,"",VLOOKUP($A269,Assets!$A:$C,3,FALSE))</x:f>
      </x:c>
      <x:c r="D269" s="16">
        <x:v>3</x:v>
      </x:c>
      <x:c r="E269" s="20" t="str">
        <x:f>_xlfn.IFNA(VLOOKUP(_xlfn.CONCAT("T",E$1,"V",$D269,"A",$A269),Vulnerabilities!$G:$G,1,FALSE),"")</x:f>
      </x:c>
      <x:c r="F269" s="20" t="str">
        <x:f>_xlfn.IFNA(VLOOKUP(_xlfn.CONCAT("T",F$1,"V",$D269,"A",$A269),Vulnerabilities!$G:$G,1,FALSE),"")</x:f>
      </x:c>
      <x:c r="G269" s="20" t="str">
        <x:f>_xlfn.IFNA(VLOOKUP(_xlfn.CONCAT("T",G$1,"V",$D269,"A",$A269),Vulnerabilities!$G:$G,1,FALSE),"")</x:f>
      </x:c>
      <x:c r="H269" s="20" t="str">
        <x:f>_xlfn.IFNA(VLOOKUP(_xlfn.CONCAT("T",H$1,"V",$D269,"A",$A269),Vulnerabilities!$G:$G,1,FALSE),"")</x:f>
      </x:c>
      <x:c r="I269" s="20" t="str">
        <x:f>_xlfn.IFNA(VLOOKUP(_xlfn.CONCAT("T",I$1,"V",$D269,"A",$A269),Vulnerabilities!$G:$G,1,FALSE),"")</x:f>
      </x:c>
      <x:c r="J269" s="20" t="str">
        <x:f>_xlfn.IFNA(VLOOKUP(_xlfn.CONCAT("T",J$1,"V",$D269,"A",$A269),Vulnerabilities!$G:$G,1,FALSE),"")</x:f>
      </x:c>
      <x:c r="K269" s="20" t="str">
        <x:f>_xlfn.IFNA(VLOOKUP(_xlfn.CONCAT("T",K$1,"V",$D269,"A",$A269),Vulnerabilities!$G:$G,1,FALSE),"")</x:f>
      </x:c>
      <x:c r="L269" s="20" t="str">
        <x:f>_xlfn.IFNA(VLOOKUP(_xlfn.CONCAT("T",L$1,"V",$D269,"A",$A269),Vulnerabilities!$G:$G,1,FALSE),"")</x:f>
      </x:c>
      <x:c r="M269" s="20" t="str">
        <x:f>_xlfn.IFNA(VLOOKUP(_xlfn.CONCAT("T",M$1,"V",$D269,"A",$A269),Vulnerabilities!$G:$G,1,FALSE),"")</x:f>
      </x:c>
      <x:c r="N269" s="20" t="str">
        <x:f>_xlfn.IFNA(VLOOKUP(_xlfn.CONCAT("T",N$1,"V",$D269,"A",$A269),Vulnerabilities!$G:$G,1,FALSE),"")</x:f>
      </x:c>
      <x:c r="O269" s="20" t="str">
        <x:f>_xlfn.IFNA(VLOOKUP(_xlfn.CONCAT("T",O$1,"V",$D269,"A",$A269),Vulnerabilities!$G:$G,1,FALSE),"")</x:f>
      </x:c>
      <x:c r="P269" s="16" t="str">
        <x:f>_xlfn.IFNA(VLOOKUP(_xlfn.CONCAT("T",P$1,"V",$D269,"A",$A269),Vulnerabilities!$G:$G,1,FALSE),"")</x:f>
      </x:c>
    </x:row>
    <x:row r="270">
      <x:c r="A270" s="11">
        <x:f t="shared" si="4"/>
        <x:v>67</x:v>
      </x:c>
      <x:c r="B270" s="12" t="str">
        <x:f>IF(VLOOKUP($A270,Assets!$A:$C,2,FALSE)=0,"",VLOOKUP($A270,Assets!$A:$C,2,FALSE))</x:f>
      </x:c>
      <x:c r="C270" s="12" t="str">
        <x:f>IF(VLOOKUP($A270,Assets!$A:$C,3,FALSE)=0,"",VLOOKUP($A270,Assets!$A:$C,3,FALSE))</x:f>
      </x:c>
      <x:c r="D270" s="17">
        <x:v>4</x:v>
      </x:c>
      <x:c r="E270" s="21" t="str">
        <x:f>_xlfn.IFNA(VLOOKUP(_xlfn.CONCAT("T",E$1,"V",$D270,"A",$A270),Vulnerabilities!$G:$G,1,FALSE),"")</x:f>
      </x:c>
      <x:c r="F270" s="21" t="str">
        <x:f>_xlfn.IFNA(VLOOKUP(_xlfn.CONCAT("T",F$1,"V",$D270,"A",$A270),Vulnerabilities!$G:$G,1,FALSE),"")</x:f>
      </x:c>
      <x:c r="G270" s="21" t="str">
        <x:f>_xlfn.IFNA(VLOOKUP(_xlfn.CONCAT("T",G$1,"V",$D270,"A",$A270),Vulnerabilities!$G:$G,1,FALSE),"")</x:f>
      </x:c>
      <x:c r="H270" s="21" t="str">
        <x:f>_xlfn.IFNA(VLOOKUP(_xlfn.CONCAT("T",H$1,"V",$D270,"A",$A270),Vulnerabilities!$G:$G,1,FALSE),"")</x:f>
      </x:c>
      <x:c r="I270" s="21" t="str">
        <x:f>_xlfn.IFNA(VLOOKUP(_xlfn.CONCAT("T",I$1,"V",$D270,"A",$A270),Vulnerabilities!$G:$G,1,FALSE),"")</x:f>
      </x:c>
      <x:c r="J270" s="21" t="str">
        <x:f>_xlfn.IFNA(VLOOKUP(_xlfn.CONCAT("T",J$1,"V",$D270,"A",$A270),Vulnerabilities!$G:$G,1,FALSE),"")</x:f>
      </x:c>
      <x:c r="K270" s="21" t="str">
        <x:f>_xlfn.IFNA(VLOOKUP(_xlfn.CONCAT("T",K$1,"V",$D270,"A",$A270),Vulnerabilities!$G:$G,1,FALSE),"")</x:f>
      </x:c>
      <x:c r="L270" s="21" t="str">
        <x:f>_xlfn.IFNA(VLOOKUP(_xlfn.CONCAT("T",L$1,"V",$D270,"A",$A270),Vulnerabilities!$G:$G,1,FALSE),"")</x:f>
      </x:c>
      <x:c r="M270" s="21" t="str">
        <x:f>_xlfn.IFNA(VLOOKUP(_xlfn.CONCAT("T",M$1,"V",$D270,"A",$A270),Vulnerabilities!$G:$G,1,FALSE),"")</x:f>
      </x:c>
      <x:c r="N270" s="21" t="str">
        <x:f>_xlfn.IFNA(VLOOKUP(_xlfn.CONCAT("T",N$1,"V",$D270,"A",$A270),Vulnerabilities!$G:$G,1,FALSE),"")</x:f>
      </x:c>
      <x:c r="O270" s="21" t="str">
        <x:f>_xlfn.IFNA(VLOOKUP(_xlfn.CONCAT("T",O$1,"V",$D270,"A",$A270),Vulnerabilities!$G:$G,1,FALSE),"")</x:f>
      </x:c>
      <x:c r="P270" s="17" t="str">
        <x:f>_xlfn.IFNA(VLOOKUP(_xlfn.CONCAT("T",P$1,"V",$D270,"A",$A270),Vulnerabilities!$G:$G,1,FALSE),"")</x:f>
      </x:c>
    </x:row>
    <x:row r="271">
      <x:c r="A271" s="1">
        <x:f t="shared" si="4"/>
        <x:v>68</x:v>
      </x:c>
      <x:c r="B271" t="str">
        <x:f>IF(VLOOKUP($A271,Assets!$A:$C,2,FALSE)=0,"",VLOOKUP($A271,Assets!$A:$C,2,FALSE))</x:f>
      </x:c>
      <x:c r="C271" t="str">
        <x:f>IF(VLOOKUP($A271,Assets!$A:$C,3,FALSE)=0,"",VLOOKUP($A271,Assets!$A:$C,3,FALSE))</x:f>
      </x:c>
      <x:c r="D271" s="16">
        <x:v>1</x:v>
      </x:c>
      <x:c r="E271" s="20" t="str">
        <x:f>_xlfn.IFNA(VLOOKUP(_xlfn.CONCAT("T",E$1,"V",$D271,"A",$A271),Vulnerabilities!$G:$G,1,FALSE),"")</x:f>
      </x:c>
      <x:c r="F271" s="20" t="str">
        <x:f>_xlfn.IFNA(VLOOKUP(_xlfn.CONCAT("T",F$1,"V",$D271,"A",$A271),Vulnerabilities!$G:$G,1,FALSE),"")</x:f>
      </x:c>
      <x:c r="G271" s="20" t="str">
        <x:f>_xlfn.IFNA(VLOOKUP(_xlfn.CONCAT("T",G$1,"V",$D271,"A",$A271),Vulnerabilities!$G:$G,1,FALSE),"")</x:f>
      </x:c>
      <x:c r="H271" s="20" t="str">
        <x:f>_xlfn.IFNA(VLOOKUP(_xlfn.CONCAT("T",H$1,"V",$D271,"A",$A271),Vulnerabilities!$G:$G,1,FALSE),"")</x:f>
      </x:c>
      <x:c r="I271" s="20" t="str">
        <x:f>_xlfn.IFNA(VLOOKUP(_xlfn.CONCAT("T",I$1,"V",$D271,"A",$A271),Vulnerabilities!$G:$G,1,FALSE),"")</x:f>
      </x:c>
      <x:c r="J271" s="20" t="str">
        <x:f>_xlfn.IFNA(VLOOKUP(_xlfn.CONCAT("T",J$1,"V",$D271,"A",$A271),Vulnerabilities!$G:$G,1,FALSE),"")</x:f>
      </x:c>
      <x:c r="K271" s="20" t="str">
        <x:f>_xlfn.IFNA(VLOOKUP(_xlfn.CONCAT("T",K$1,"V",$D271,"A",$A271),Vulnerabilities!$G:$G,1,FALSE),"")</x:f>
      </x:c>
      <x:c r="L271" s="20" t="str">
        <x:f>_xlfn.IFNA(VLOOKUP(_xlfn.CONCAT("T",L$1,"V",$D271,"A",$A271),Vulnerabilities!$G:$G,1,FALSE),"")</x:f>
      </x:c>
      <x:c r="M271" s="20" t="str">
        <x:f>_xlfn.IFNA(VLOOKUP(_xlfn.CONCAT("T",M$1,"V",$D271,"A",$A271),Vulnerabilities!$G:$G,1,FALSE),"")</x:f>
      </x:c>
      <x:c r="N271" s="20" t="str">
        <x:f>_xlfn.IFNA(VLOOKUP(_xlfn.CONCAT("T",N$1,"V",$D271,"A",$A271),Vulnerabilities!$G:$G,1,FALSE),"")</x:f>
      </x:c>
      <x:c r="O271" s="20" t="str">
        <x:f>_xlfn.IFNA(VLOOKUP(_xlfn.CONCAT("T",O$1,"V",$D271,"A",$A271),Vulnerabilities!$G:$G,1,FALSE),"")</x:f>
      </x:c>
      <x:c r="P271" s="16" t="str">
        <x:f>_xlfn.IFNA(VLOOKUP(_xlfn.CONCAT("T",P$1,"V",$D271,"A",$A271),Vulnerabilities!$G:$G,1,FALSE),"")</x:f>
      </x:c>
    </x:row>
    <x:row r="272">
      <x:c r="A272" s="1">
        <x:f t="shared" si="4"/>
        <x:v>68</x:v>
      </x:c>
      <x:c r="B272" t="str">
        <x:f>IF(VLOOKUP($A272,Assets!$A:$C,2,FALSE)=0,"",VLOOKUP($A272,Assets!$A:$C,2,FALSE))</x:f>
      </x:c>
      <x:c r="C272" t="str">
        <x:f>IF(VLOOKUP($A272,Assets!$A:$C,3,FALSE)=0,"",VLOOKUP($A272,Assets!$A:$C,3,FALSE))</x:f>
      </x:c>
      <x:c r="D272" s="16">
        <x:v>2</x:v>
      </x:c>
      <x:c r="E272" s="20" t="str">
        <x:f>_xlfn.IFNA(VLOOKUP(_xlfn.CONCAT("T",E$1,"V",$D272,"A",$A272),Vulnerabilities!$G:$G,1,FALSE),"")</x:f>
      </x:c>
      <x:c r="F272" s="20" t="str">
        <x:f>_xlfn.IFNA(VLOOKUP(_xlfn.CONCAT("T",F$1,"V",$D272,"A",$A272),Vulnerabilities!$G:$G,1,FALSE),"")</x:f>
      </x:c>
      <x:c r="G272" s="20" t="str">
        <x:f>_xlfn.IFNA(VLOOKUP(_xlfn.CONCAT("T",G$1,"V",$D272,"A",$A272),Vulnerabilities!$G:$G,1,FALSE),"")</x:f>
      </x:c>
      <x:c r="H272" s="20" t="str">
        <x:f>_xlfn.IFNA(VLOOKUP(_xlfn.CONCAT("T",H$1,"V",$D272,"A",$A272),Vulnerabilities!$G:$G,1,FALSE),"")</x:f>
      </x:c>
      <x:c r="I272" s="20" t="str">
        <x:f>_xlfn.IFNA(VLOOKUP(_xlfn.CONCAT("T",I$1,"V",$D272,"A",$A272),Vulnerabilities!$G:$G,1,FALSE),"")</x:f>
      </x:c>
      <x:c r="J272" s="20" t="str">
        <x:f>_xlfn.IFNA(VLOOKUP(_xlfn.CONCAT("T",J$1,"V",$D272,"A",$A272),Vulnerabilities!$G:$G,1,FALSE),"")</x:f>
      </x:c>
      <x:c r="K272" s="20" t="str">
        <x:f>_xlfn.IFNA(VLOOKUP(_xlfn.CONCAT("T",K$1,"V",$D272,"A",$A272),Vulnerabilities!$G:$G,1,FALSE),"")</x:f>
      </x:c>
      <x:c r="L272" s="20" t="str">
        <x:f>_xlfn.IFNA(VLOOKUP(_xlfn.CONCAT("T",L$1,"V",$D272,"A",$A272),Vulnerabilities!$G:$G,1,FALSE),"")</x:f>
      </x:c>
      <x:c r="M272" s="20" t="str">
        <x:f>_xlfn.IFNA(VLOOKUP(_xlfn.CONCAT("T",M$1,"V",$D272,"A",$A272),Vulnerabilities!$G:$G,1,FALSE),"")</x:f>
      </x:c>
      <x:c r="N272" s="20" t="str">
        <x:f>_xlfn.IFNA(VLOOKUP(_xlfn.CONCAT("T",N$1,"V",$D272,"A",$A272),Vulnerabilities!$G:$G,1,FALSE),"")</x:f>
      </x:c>
      <x:c r="O272" s="20" t="str">
        <x:f>_xlfn.IFNA(VLOOKUP(_xlfn.CONCAT("T",O$1,"V",$D272,"A",$A272),Vulnerabilities!$G:$G,1,FALSE),"")</x:f>
      </x:c>
      <x:c r="P272" s="16" t="str">
        <x:f>_xlfn.IFNA(VLOOKUP(_xlfn.CONCAT("T",P$1,"V",$D272,"A",$A272),Vulnerabilities!$G:$G,1,FALSE),"")</x:f>
      </x:c>
    </x:row>
    <x:row r="273">
      <x:c r="A273" s="1">
        <x:f t="shared" si="4"/>
        <x:v>68</x:v>
      </x:c>
      <x:c r="B273" t="str">
        <x:f>IF(VLOOKUP($A273,Assets!$A:$C,2,FALSE)=0,"",VLOOKUP($A273,Assets!$A:$C,2,FALSE))</x:f>
      </x:c>
      <x:c r="C273" t="str">
        <x:f>IF(VLOOKUP($A273,Assets!$A:$C,3,FALSE)=0,"",VLOOKUP($A273,Assets!$A:$C,3,FALSE))</x:f>
      </x:c>
      <x:c r="D273" s="16">
        <x:v>3</x:v>
      </x:c>
      <x:c r="E273" s="20" t="str">
        <x:f>_xlfn.IFNA(VLOOKUP(_xlfn.CONCAT("T",E$1,"V",$D273,"A",$A273),Vulnerabilities!$G:$G,1,FALSE),"")</x:f>
      </x:c>
      <x:c r="F273" s="20" t="str">
        <x:f>_xlfn.IFNA(VLOOKUP(_xlfn.CONCAT("T",F$1,"V",$D273,"A",$A273),Vulnerabilities!$G:$G,1,FALSE),"")</x:f>
      </x:c>
      <x:c r="G273" s="20" t="str">
        <x:f>_xlfn.IFNA(VLOOKUP(_xlfn.CONCAT("T",G$1,"V",$D273,"A",$A273),Vulnerabilities!$G:$G,1,FALSE),"")</x:f>
      </x:c>
      <x:c r="H273" s="20" t="str">
        <x:f>_xlfn.IFNA(VLOOKUP(_xlfn.CONCAT("T",H$1,"V",$D273,"A",$A273),Vulnerabilities!$G:$G,1,FALSE),"")</x:f>
      </x:c>
      <x:c r="I273" s="20" t="str">
        <x:f>_xlfn.IFNA(VLOOKUP(_xlfn.CONCAT("T",I$1,"V",$D273,"A",$A273),Vulnerabilities!$G:$G,1,FALSE),"")</x:f>
      </x:c>
      <x:c r="J273" s="20" t="str">
        <x:f>_xlfn.IFNA(VLOOKUP(_xlfn.CONCAT("T",J$1,"V",$D273,"A",$A273),Vulnerabilities!$G:$G,1,FALSE),"")</x:f>
      </x:c>
      <x:c r="K273" s="20" t="str">
        <x:f>_xlfn.IFNA(VLOOKUP(_xlfn.CONCAT("T",K$1,"V",$D273,"A",$A273),Vulnerabilities!$G:$G,1,FALSE),"")</x:f>
      </x:c>
      <x:c r="L273" s="20" t="str">
        <x:f>_xlfn.IFNA(VLOOKUP(_xlfn.CONCAT("T",L$1,"V",$D273,"A",$A273),Vulnerabilities!$G:$G,1,FALSE),"")</x:f>
      </x:c>
      <x:c r="M273" s="20" t="str">
        <x:f>_xlfn.IFNA(VLOOKUP(_xlfn.CONCAT("T",M$1,"V",$D273,"A",$A273),Vulnerabilities!$G:$G,1,FALSE),"")</x:f>
      </x:c>
      <x:c r="N273" s="20" t="str">
        <x:f>_xlfn.IFNA(VLOOKUP(_xlfn.CONCAT("T",N$1,"V",$D273,"A",$A273),Vulnerabilities!$G:$G,1,FALSE),"")</x:f>
      </x:c>
      <x:c r="O273" s="20" t="str">
        <x:f>_xlfn.IFNA(VLOOKUP(_xlfn.CONCAT("T",O$1,"V",$D273,"A",$A273),Vulnerabilities!$G:$G,1,FALSE),"")</x:f>
      </x:c>
      <x:c r="P273" s="16" t="str">
        <x:f>_xlfn.IFNA(VLOOKUP(_xlfn.CONCAT("T",P$1,"V",$D273,"A",$A273),Vulnerabilities!$G:$G,1,FALSE),"")</x:f>
      </x:c>
    </x:row>
    <x:row r="274">
      <x:c r="A274" s="11">
        <x:f t="shared" si="4"/>
        <x:v>68</x:v>
      </x:c>
      <x:c r="B274" s="12" t="str">
        <x:f>IF(VLOOKUP($A274,Assets!$A:$C,2,FALSE)=0,"",VLOOKUP($A274,Assets!$A:$C,2,FALSE))</x:f>
      </x:c>
      <x:c r="C274" s="12" t="str">
        <x:f>IF(VLOOKUP($A274,Assets!$A:$C,3,FALSE)=0,"",VLOOKUP($A274,Assets!$A:$C,3,FALSE))</x:f>
      </x:c>
      <x:c r="D274" s="17">
        <x:v>4</x:v>
      </x:c>
      <x:c r="E274" s="21" t="str">
        <x:f>_xlfn.IFNA(VLOOKUP(_xlfn.CONCAT("T",E$1,"V",$D274,"A",$A274),Vulnerabilities!$G:$G,1,FALSE),"")</x:f>
      </x:c>
      <x:c r="F274" s="21" t="str">
        <x:f>_xlfn.IFNA(VLOOKUP(_xlfn.CONCAT("T",F$1,"V",$D274,"A",$A274),Vulnerabilities!$G:$G,1,FALSE),"")</x:f>
      </x:c>
      <x:c r="G274" s="21" t="str">
        <x:f>_xlfn.IFNA(VLOOKUP(_xlfn.CONCAT("T",G$1,"V",$D274,"A",$A274),Vulnerabilities!$G:$G,1,FALSE),"")</x:f>
      </x:c>
      <x:c r="H274" s="21" t="str">
        <x:f>_xlfn.IFNA(VLOOKUP(_xlfn.CONCAT("T",H$1,"V",$D274,"A",$A274),Vulnerabilities!$G:$G,1,FALSE),"")</x:f>
      </x:c>
      <x:c r="I274" s="21" t="str">
        <x:f>_xlfn.IFNA(VLOOKUP(_xlfn.CONCAT("T",I$1,"V",$D274,"A",$A274),Vulnerabilities!$G:$G,1,FALSE),"")</x:f>
      </x:c>
      <x:c r="J274" s="21" t="str">
        <x:f>_xlfn.IFNA(VLOOKUP(_xlfn.CONCAT("T",J$1,"V",$D274,"A",$A274),Vulnerabilities!$G:$G,1,FALSE),"")</x:f>
      </x:c>
      <x:c r="K274" s="21" t="str">
        <x:f>_xlfn.IFNA(VLOOKUP(_xlfn.CONCAT("T",K$1,"V",$D274,"A",$A274),Vulnerabilities!$G:$G,1,FALSE),"")</x:f>
      </x:c>
      <x:c r="L274" s="21" t="str">
        <x:f>_xlfn.IFNA(VLOOKUP(_xlfn.CONCAT("T",L$1,"V",$D274,"A",$A274),Vulnerabilities!$G:$G,1,FALSE),"")</x:f>
      </x:c>
      <x:c r="M274" s="21" t="str">
        <x:f>_xlfn.IFNA(VLOOKUP(_xlfn.CONCAT("T",M$1,"V",$D274,"A",$A274),Vulnerabilities!$G:$G,1,FALSE),"")</x:f>
      </x:c>
      <x:c r="N274" s="21" t="str">
        <x:f>_xlfn.IFNA(VLOOKUP(_xlfn.CONCAT("T",N$1,"V",$D274,"A",$A274),Vulnerabilities!$G:$G,1,FALSE),"")</x:f>
      </x:c>
      <x:c r="O274" s="21" t="str">
        <x:f>_xlfn.IFNA(VLOOKUP(_xlfn.CONCAT("T",O$1,"V",$D274,"A",$A274),Vulnerabilities!$G:$G,1,FALSE),"")</x:f>
      </x:c>
      <x:c r="P274" s="17" t="str">
        <x:f>_xlfn.IFNA(VLOOKUP(_xlfn.CONCAT("T",P$1,"V",$D274,"A",$A274),Vulnerabilities!$G:$G,1,FALSE),"")</x:f>
      </x:c>
    </x:row>
    <x:row r="275">
      <x:c r="A275" s="1">
        <x:f t="shared" si="4"/>
        <x:v>69</x:v>
      </x:c>
      <x:c r="B275" t="str">
        <x:f>IF(VLOOKUP($A275,Assets!$A:$C,2,FALSE)=0,"",VLOOKUP($A275,Assets!$A:$C,2,FALSE))</x:f>
      </x:c>
      <x:c r="C275" t="str">
        <x:f>IF(VLOOKUP($A275,Assets!$A:$C,3,FALSE)=0,"",VLOOKUP($A275,Assets!$A:$C,3,FALSE))</x:f>
      </x:c>
      <x:c r="D275" s="16">
        <x:v>1</x:v>
      </x:c>
      <x:c r="E275" s="20" t="str">
        <x:f>_xlfn.IFNA(VLOOKUP(_xlfn.CONCAT("T",E$1,"V",$D275,"A",$A275),Vulnerabilities!$G:$G,1,FALSE),"")</x:f>
      </x:c>
      <x:c r="F275" s="20" t="str">
        <x:f>_xlfn.IFNA(VLOOKUP(_xlfn.CONCAT("T",F$1,"V",$D275,"A",$A275),Vulnerabilities!$G:$G,1,FALSE),"")</x:f>
      </x:c>
      <x:c r="G275" s="20" t="str">
        <x:f>_xlfn.IFNA(VLOOKUP(_xlfn.CONCAT("T",G$1,"V",$D275,"A",$A275),Vulnerabilities!$G:$G,1,FALSE),"")</x:f>
      </x:c>
      <x:c r="H275" s="20" t="str">
        <x:f>_xlfn.IFNA(VLOOKUP(_xlfn.CONCAT("T",H$1,"V",$D275,"A",$A275),Vulnerabilities!$G:$G,1,FALSE),"")</x:f>
      </x:c>
      <x:c r="I275" s="20" t="str">
        <x:f>_xlfn.IFNA(VLOOKUP(_xlfn.CONCAT("T",I$1,"V",$D275,"A",$A275),Vulnerabilities!$G:$G,1,FALSE),"")</x:f>
      </x:c>
      <x:c r="J275" s="20" t="str">
        <x:f>_xlfn.IFNA(VLOOKUP(_xlfn.CONCAT("T",J$1,"V",$D275,"A",$A275),Vulnerabilities!$G:$G,1,FALSE),"")</x:f>
      </x:c>
      <x:c r="K275" s="20" t="str">
        <x:f>_xlfn.IFNA(VLOOKUP(_xlfn.CONCAT("T",K$1,"V",$D275,"A",$A275),Vulnerabilities!$G:$G,1,FALSE),"")</x:f>
      </x:c>
      <x:c r="L275" s="20" t="str">
        <x:f>_xlfn.IFNA(VLOOKUP(_xlfn.CONCAT("T",L$1,"V",$D275,"A",$A275),Vulnerabilities!$G:$G,1,FALSE),"")</x:f>
      </x:c>
      <x:c r="M275" s="20" t="str">
        <x:f>_xlfn.IFNA(VLOOKUP(_xlfn.CONCAT("T",M$1,"V",$D275,"A",$A275),Vulnerabilities!$G:$G,1,FALSE),"")</x:f>
      </x:c>
      <x:c r="N275" s="20" t="str">
        <x:f>_xlfn.IFNA(VLOOKUP(_xlfn.CONCAT("T",N$1,"V",$D275,"A",$A275),Vulnerabilities!$G:$G,1,FALSE),"")</x:f>
      </x:c>
      <x:c r="O275" s="20" t="str">
        <x:f>_xlfn.IFNA(VLOOKUP(_xlfn.CONCAT("T",O$1,"V",$D275,"A",$A275),Vulnerabilities!$G:$G,1,FALSE),"")</x:f>
      </x:c>
      <x:c r="P275" s="16" t="str">
        <x:f>_xlfn.IFNA(VLOOKUP(_xlfn.CONCAT("T",P$1,"V",$D275,"A",$A275),Vulnerabilities!$G:$G,1,FALSE),"")</x:f>
      </x:c>
    </x:row>
    <x:row r="276">
      <x:c r="A276" s="1">
        <x:f t="shared" si="4"/>
        <x:v>69</x:v>
      </x:c>
      <x:c r="B276" t="str">
        <x:f>IF(VLOOKUP($A276,Assets!$A:$C,2,FALSE)=0,"",VLOOKUP($A276,Assets!$A:$C,2,FALSE))</x:f>
      </x:c>
      <x:c r="C276" t="str">
        <x:f>IF(VLOOKUP($A276,Assets!$A:$C,3,FALSE)=0,"",VLOOKUP($A276,Assets!$A:$C,3,FALSE))</x:f>
      </x:c>
      <x:c r="D276" s="16">
        <x:v>2</x:v>
      </x:c>
      <x:c r="E276" s="20" t="str">
        <x:f>_xlfn.IFNA(VLOOKUP(_xlfn.CONCAT("T",E$1,"V",$D276,"A",$A276),Vulnerabilities!$G:$G,1,FALSE),"")</x:f>
      </x:c>
      <x:c r="F276" s="20" t="str">
        <x:f>_xlfn.IFNA(VLOOKUP(_xlfn.CONCAT("T",F$1,"V",$D276,"A",$A276),Vulnerabilities!$G:$G,1,FALSE),"")</x:f>
      </x:c>
      <x:c r="G276" s="20" t="str">
        <x:f>_xlfn.IFNA(VLOOKUP(_xlfn.CONCAT("T",G$1,"V",$D276,"A",$A276),Vulnerabilities!$G:$G,1,FALSE),"")</x:f>
      </x:c>
      <x:c r="H276" s="20" t="str">
        <x:f>_xlfn.IFNA(VLOOKUP(_xlfn.CONCAT("T",H$1,"V",$D276,"A",$A276),Vulnerabilities!$G:$G,1,FALSE),"")</x:f>
      </x:c>
      <x:c r="I276" s="20" t="str">
        <x:f>_xlfn.IFNA(VLOOKUP(_xlfn.CONCAT("T",I$1,"V",$D276,"A",$A276),Vulnerabilities!$G:$G,1,FALSE),"")</x:f>
      </x:c>
      <x:c r="J276" s="20" t="str">
        <x:f>_xlfn.IFNA(VLOOKUP(_xlfn.CONCAT("T",J$1,"V",$D276,"A",$A276),Vulnerabilities!$G:$G,1,FALSE),"")</x:f>
      </x:c>
      <x:c r="K276" s="20" t="str">
        <x:f>_xlfn.IFNA(VLOOKUP(_xlfn.CONCAT("T",K$1,"V",$D276,"A",$A276),Vulnerabilities!$G:$G,1,FALSE),"")</x:f>
      </x:c>
      <x:c r="L276" s="20" t="str">
        <x:f>_xlfn.IFNA(VLOOKUP(_xlfn.CONCAT("T",L$1,"V",$D276,"A",$A276),Vulnerabilities!$G:$G,1,FALSE),"")</x:f>
      </x:c>
      <x:c r="M276" s="20" t="str">
        <x:f>_xlfn.IFNA(VLOOKUP(_xlfn.CONCAT("T",M$1,"V",$D276,"A",$A276),Vulnerabilities!$G:$G,1,FALSE),"")</x:f>
      </x:c>
      <x:c r="N276" s="20" t="str">
        <x:f>_xlfn.IFNA(VLOOKUP(_xlfn.CONCAT("T",N$1,"V",$D276,"A",$A276),Vulnerabilities!$G:$G,1,FALSE),"")</x:f>
      </x:c>
      <x:c r="O276" s="20" t="str">
        <x:f>_xlfn.IFNA(VLOOKUP(_xlfn.CONCAT("T",O$1,"V",$D276,"A",$A276),Vulnerabilities!$G:$G,1,FALSE),"")</x:f>
      </x:c>
      <x:c r="P276" s="16" t="str">
        <x:f>_xlfn.IFNA(VLOOKUP(_xlfn.CONCAT("T",P$1,"V",$D276,"A",$A276),Vulnerabilities!$G:$G,1,FALSE),"")</x:f>
      </x:c>
    </x:row>
    <x:row r="277">
      <x:c r="A277" s="1">
        <x:f t="shared" si="4"/>
        <x:v>69</x:v>
      </x:c>
      <x:c r="B277" t="str">
        <x:f>IF(VLOOKUP($A277,Assets!$A:$C,2,FALSE)=0,"",VLOOKUP($A277,Assets!$A:$C,2,FALSE))</x:f>
      </x:c>
      <x:c r="C277" t="str">
        <x:f>IF(VLOOKUP($A277,Assets!$A:$C,3,FALSE)=0,"",VLOOKUP($A277,Assets!$A:$C,3,FALSE))</x:f>
      </x:c>
      <x:c r="D277" s="16">
        <x:v>3</x:v>
      </x:c>
      <x:c r="E277" s="20" t="str">
        <x:f>_xlfn.IFNA(VLOOKUP(_xlfn.CONCAT("T",E$1,"V",$D277,"A",$A277),Vulnerabilities!$G:$G,1,FALSE),"")</x:f>
      </x:c>
      <x:c r="F277" s="20" t="str">
        <x:f>_xlfn.IFNA(VLOOKUP(_xlfn.CONCAT("T",F$1,"V",$D277,"A",$A277),Vulnerabilities!$G:$G,1,FALSE),"")</x:f>
      </x:c>
      <x:c r="G277" s="20" t="str">
        <x:f>_xlfn.IFNA(VLOOKUP(_xlfn.CONCAT("T",G$1,"V",$D277,"A",$A277),Vulnerabilities!$G:$G,1,FALSE),"")</x:f>
      </x:c>
      <x:c r="H277" s="20" t="str">
        <x:f>_xlfn.IFNA(VLOOKUP(_xlfn.CONCAT("T",H$1,"V",$D277,"A",$A277),Vulnerabilities!$G:$G,1,FALSE),"")</x:f>
      </x:c>
      <x:c r="I277" s="20" t="str">
        <x:f>_xlfn.IFNA(VLOOKUP(_xlfn.CONCAT("T",I$1,"V",$D277,"A",$A277),Vulnerabilities!$G:$G,1,FALSE),"")</x:f>
      </x:c>
      <x:c r="J277" s="20" t="str">
        <x:f>_xlfn.IFNA(VLOOKUP(_xlfn.CONCAT("T",J$1,"V",$D277,"A",$A277),Vulnerabilities!$G:$G,1,FALSE),"")</x:f>
      </x:c>
      <x:c r="K277" s="20" t="str">
        <x:f>_xlfn.IFNA(VLOOKUP(_xlfn.CONCAT("T",K$1,"V",$D277,"A",$A277),Vulnerabilities!$G:$G,1,FALSE),"")</x:f>
      </x:c>
      <x:c r="L277" s="20" t="str">
        <x:f>_xlfn.IFNA(VLOOKUP(_xlfn.CONCAT("T",L$1,"V",$D277,"A",$A277),Vulnerabilities!$G:$G,1,FALSE),"")</x:f>
      </x:c>
      <x:c r="M277" s="20" t="str">
        <x:f>_xlfn.IFNA(VLOOKUP(_xlfn.CONCAT("T",M$1,"V",$D277,"A",$A277),Vulnerabilities!$G:$G,1,FALSE),"")</x:f>
      </x:c>
      <x:c r="N277" s="20" t="str">
        <x:f>_xlfn.IFNA(VLOOKUP(_xlfn.CONCAT("T",N$1,"V",$D277,"A",$A277),Vulnerabilities!$G:$G,1,FALSE),"")</x:f>
      </x:c>
      <x:c r="O277" s="20" t="str">
        <x:f>_xlfn.IFNA(VLOOKUP(_xlfn.CONCAT("T",O$1,"V",$D277,"A",$A277),Vulnerabilities!$G:$G,1,FALSE),"")</x:f>
      </x:c>
      <x:c r="P277" s="16" t="str">
        <x:f>_xlfn.IFNA(VLOOKUP(_xlfn.CONCAT("T",P$1,"V",$D277,"A",$A277),Vulnerabilities!$G:$G,1,FALSE),"")</x:f>
      </x:c>
    </x:row>
    <x:row r="278">
      <x:c r="A278" s="11">
        <x:f t="shared" si="4"/>
        <x:v>69</x:v>
      </x:c>
      <x:c r="B278" s="12" t="str">
        <x:f>IF(VLOOKUP($A278,Assets!$A:$C,2,FALSE)=0,"",VLOOKUP($A278,Assets!$A:$C,2,FALSE))</x:f>
      </x:c>
      <x:c r="C278" s="12" t="str">
        <x:f>IF(VLOOKUP($A278,Assets!$A:$C,3,FALSE)=0,"",VLOOKUP($A278,Assets!$A:$C,3,FALSE))</x:f>
      </x:c>
      <x:c r="D278" s="17">
        <x:v>4</x:v>
      </x:c>
      <x:c r="E278" s="21" t="str">
        <x:f>_xlfn.IFNA(VLOOKUP(_xlfn.CONCAT("T",E$1,"V",$D278,"A",$A278),Vulnerabilities!$G:$G,1,FALSE),"")</x:f>
      </x:c>
      <x:c r="F278" s="21" t="str">
        <x:f>_xlfn.IFNA(VLOOKUP(_xlfn.CONCAT("T",F$1,"V",$D278,"A",$A278),Vulnerabilities!$G:$G,1,FALSE),"")</x:f>
      </x:c>
      <x:c r="G278" s="21" t="str">
        <x:f>_xlfn.IFNA(VLOOKUP(_xlfn.CONCAT("T",G$1,"V",$D278,"A",$A278),Vulnerabilities!$G:$G,1,FALSE),"")</x:f>
      </x:c>
      <x:c r="H278" s="21" t="str">
        <x:f>_xlfn.IFNA(VLOOKUP(_xlfn.CONCAT("T",H$1,"V",$D278,"A",$A278),Vulnerabilities!$G:$G,1,FALSE),"")</x:f>
      </x:c>
      <x:c r="I278" s="21" t="str">
        <x:f>_xlfn.IFNA(VLOOKUP(_xlfn.CONCAT("T",I$1,"V",$D278,"A",$A278),Vulnerabilities!$G:$G,1,FALSE),"")</x:f>
      </x:c>
      <x:c r="J278" s="21" t="str">
        <x:f>_xlfn.IFNA(VLOOKUP(_xlfn.CONCAT("T",J$1,"V",$D278,"A",$A278),Vulnerabilities!$G:$G,1,FALSE),"")</x:f>
      </x:c>
      <x:c r="K278" s="21" t="str">
        <x:f>_xlfn.IFNA(VLOOKUP(_xlfn.CONCAT("T",K$1,"V",$D278,"A",$A278),Vulnerabilities!$G:$G,1,FALSE),"")</x:f>
      </x:c>
      <x:c r="L278" s="21" t="str">
        <x:f>_xlfn.IFNA(VLOOKUP(_xlfn.CONCAT("T",L$1,"V",$D278,"A",$A278),Vulnerabilities!$G:$G,1,FALSE),"")</x:f>
      </x:c>
      <x:c r="M278" s="21" t="str">
        <x:f>_xlfn.IFNA(VLOOKUP(_xlfn.CONCAT("T",M$1,"V",$D278,"A",$A278),Vulnerabilities!$G:$G,1,FALSE),"")</x:f>
      </x:c>
      <x:c r="N278" s="21" t="str">
        <x:f>_xlfn.IFNA(VLOOKUP(_xlfn.CONCAT("T",N$1,"V",$D278,"A",$A278),Vulnerabilities!$G:$G,1,FALSE),"")</x:f>
      </x:c>
      <x:c r="O278" s="21" t="str">
        <x:f>_xlfn.IFNA(VLOOKUP(_xlfn.CONCAT("T",O$1,"V",$D278,"A",$A278),Vulnerabilities!$G:$G,1,FALSE),"")</x:f>
      </x:c>
      <x:c r="P278" s="17" t="str">
        <x:f>_xlfn.IFNA(VLOOKUP(_xlfn.CONCAT("T",P$1,"V",$D278,"A",$A278),Vulnerabilities!$G:$G,1,FALSE),"")</x:f>
      </x:c>
    </x:row>
    <x:row r="279">
      <x:c r="A279" s="1">
        <x:f t="shared" si="4"/>
        <x:v>70</x:v>
      </x:c>
      <x:c r="B279" t="str">
        <x:f>IF(VLOOKUP($A279,Assets!$A:$C,2,FALSE)=0,"",VLOOKUP($A279,Assets!$A:$C,2,FALSE))</x:f>
      </x:c>
      <x:c r="C279" t="str">
        <x:f>IF(VLOOKUP($A279,Assets!$A:$C,3,FALSE)=0,"",VLOOKUP($A279,Assets!$A:$C,3,FALSE))</x:f>
      </x:c>
      <x:c r="D279" s="16">
        <x:v>1</x:v>
      </x:c>
      <x:c r="E279" s="20" t="str">
        <x:f>_xlfn.IFNA(VLOOKUP(_xlfn.CONCAT("T",E$1,"V",$D279,"A",$A279),Vulnerabilities!$G:$G,1,FALSE),"")</x:f>
      </x:c>
      <x:c r="F279" s="20" t="str">
        <x:f>_xlfn.IFNA(VLOOKUP(_xlfn.CONCAT("T",F$1,"V",$D279,"A",$A279),Vulnerabilities!$G:$G,1,FALSE),"")</x:f>
      </x:c>
      <x:c r="G279" s="20" t="str">
        <x:f>_xlfn.IFNA(VLOOKUP(_xlfn.CONCAT("T",G$1,"V",$D279,"A",$A279),Vulnerabilities!$G:$G,1,FALSE),"")</x:f>
      </x:c>
      <x:c r="H279" s="20" t="str">
        <x:f>_xlfn.IFNA(VLOOKUP(_xlfn.CONCAT("T",H$1,"V",$D279,"A",$A279),Vulnerabilities!$G:$G,1,FALSE),"")</x:f>
      </x:c>
      <x:c r="I279" s="20" t="str">
        <x:f>_xlfn.IFNA(VLOOKUP(_xlfn.CONCAT("T",I$1,"V",$D279,"A",$A279),Vulnerabilities!$G:$G,1,FALSE),"")</x:f>
      </x:c>
      <x:c r="J279" s="20" t="str">
        <x:f>_xlfn.IFNA(VLOOKUP(_xlfn.CONCAT("T",J$1,"V",$D279,"A",$A279),Vulnerabilities!$G:$G,1,FALSE),"")</x:f>
      </x:c>
      <x:c r="K279" s="20" t="str">
        <x:f>_xlfn.IFNA(VLOOKUP(_xlfn.CONCAT("T",K$1,"V",$D279,"A",$A279),Vulnerabilities!$G:$G,1,FALSE),"")</x:f>
      </x:c>
      <x:c r="L279" s="20" t="str">
        <x:f>_xlfn.IFNA(VLOOKUP(_xlfn.CONCAT("T",L$1,"V",$D279,"A",$A279),Vulnerabilities!$G:$G,1,FALSE),"")</x:f>
      </x:c>
      <x:c r="M279" s="20" t="str">
        <x:f>_xlfn.IFNA(VLOOKUP(_xlfn.CONCAT("T",M$1,"V",$D279,"A",$A279),Vulnerabilities!$G:$G,1,FALSE),"")</x:f>
      </x:c>
      <x:c r="N279" s="20" t="str">
        <x:f>_xlfn.IFNA(VLOOKUP(_xlfn.CONCAT("T",N$1,"V",$D279,"A",$A279),Vulnerabilities!$G:$G,1,FALSE),"")</x:f>
      </x:c>
      <x:c r="O279" s="20" t="str">
        <x:f>_xlfn.IFNA(VLOOKUP(_xlfn.CONCAT("T",O$1,"V",$D279,"A",$A279),Vulnerabilities!$G:$G,1,FALSE),"")</x:f>
      </x:c>
      <x:c r="P279" s="16" t="str">
        <x:f>_xlfn.IFNA(VLOOKUP(_xlfn.CONCAT("T",P$1,"V",$D279,"A",$A279),Vulnerabilities!$G:$G,1,FALSE),"")</x:f>
      </x:c>
    </x:row>
    <x:row r="280">
      <x:c r="A280" s="1">
        <x:f t="shared" si="4"/>
        <x:v>70</x:v>
      </x:c>
      <x:c r="B280" t="str">
        <x:f>IF(VLOOKUP($A280,Assets!$A:$C,2,FALSE)=0,"",VLOOKUP($A280,Assets!$A:$C,2,FALSE))</x:f>
      </x:c>
      <x:c r="C280" t="str">
        <x:f>IF(VLOOKUP($A280,Assets!$A:$C,3,FALSE)=0,"",VLOOKUP($A280,Assets!$A:$C,3,FALSE))</x:f>
      </x:c>
      <x:c r="D280" s="16">
        <x:v>2</x:v>
      </x:c>
      <x:c r="E280" s="20" t="str">
        <x:f>_xlfn.IFNA(VLOOKUP(_xlfn.CONCAT("T",E$1,"V",$D280,"A",$A280),Vulnerabilities!$G:$G,1,FALSE),"")</x:f>
      </x:c>
      <x:c r="F280" s="20" t="str">
        <x:f>_xlfn.IFNA(VLOOKUP(_xlfn.CONCAT("T",F$1,"V",$D280,"A",$A280),Vulnerabilities!$G:$G,1,FALSE),"")</x:f>
      </x:c>
      <x:c r="G280" s="20" t="str">
        <x:f>_xlfn.IFNA(VLOOKUP(_xlfn.CONCAT("T",G$1,"V",$D280,"A",$A280),Vulnerabilities!$G:$G,1,FALSE),"")</x:f>
      </x:c>
      <x:c r="H280" s="20" t="str">
        <x:f>_xlfn.IFNA(VLOOKUP(_xlfn.CONCAT("T",H$1,"V",$D280,"A",$A280),Vulnerabilities!$G:$G,1,FALSE),"")</x:f>
      </x:c>
      <x:c r="I280" s="20" t="str">
        <x:f>_xlfn.IFNA(VLOOKUP(_xlfn.CONCAT("T",I$1,"V",$D280,"A",$A280),Vulnerabilities!$G:$G,1,FALSE),"")</x:f>
      </x:c>
      <x:c r="J280" s="20" t="str">
        <x:f>_xlfn.IFNA(VLOOKUP(_xlfn.CONCAT("T",J$1,"V",$D280,"A",$A280),Vulnerabilities!$G:$G,1,FALSE),"")</x:f>
      </x:c>
      <x:c r="K280" s="20" t="str">
        <x:f>_xlfn.IFNA(VLOOKUP(_xlfn.CONCAT("T",K$1,"V",$D280,"A",$A280),Vulnerabilities!$G:$G,1,FALSE),"")</x:f>
      </x:c>
      <x:c r="L280" s="20" t="str">
        <x:f>_xlfn.IFNA(VLOOKUP(_xlfn.CONCAT("T",L$1,"V",$D280,"A",$A280),Vulnerabilities!$G:$G,1,FALSE),"")</x:f>
      </x:c>
      <x:c r="M280" s="20" t="str">
        <x:f>_xlfn.IFNA(VLOOKUP(_xlfn.CONCAT("T",M$1,"V",$D280,"A",$A280),Vulnerabilities!$G:$G,1,FALSE),"")</x:f>
      </x:c>
      <x:c r="N280" s="20" t="str">
        <x:f>_xlfn.IFNA(VLOOKUP(_xlfn.CONCAT("T",N$1,"V",$D280,"A",$A280),Vulnerabilities!$G:$G,1,FALSE),"")</x:f>
      </x:c>
      <x:c r="O280" s="20" t="str">
        <x:f>_xlfn.IFNA(VLOOKUP(_xlfn.CONCAT("T",O$1,"V",$D280,"A",$A280),Vulnerabilities!$G:$G,1,FALSE),"")</x:f>
      </x:c>
      <x:c r="P280" s="16" t="str">
        <x:f>_xlfn.IFNA(VLOOKUP(_xlfn.CONCAT("T",P$1,"V",$D280,"A",$A280),Vulnerabilities!$G:$G,1,FALSE),"")</x:f>
      </x:c>
    </x:row>
    <x:row r="281">
      <x:c r="A281" s="1">
        <x:f t="shared" si="4"/>
        <x:v>70</x:v>
      </x:c>
      <x:c r="B281" t="str">
        <x:f>IF(VLOOKUP($A281,Assets!$A:$C,2,FALSE)=0,"",VLOOKUP($A281,Assets!$A:$C,2,FALSE))</x:f>
      </x:c>
      <x:c r="C281" t="str">
        <x:f>IF(VLOOKUP($A281,Assets!$A:$C,3,FALSE)=0,"",VLOOKUP($A281,Assets!$A:$C,3,FALSE))</x:f>
      </x:c>
      <x:c r="D281" s="16">
        <x:v>3</x:v>
      </x:c>
      <x:c r="E281" s="20" t="str">
        <x:f>_xlfn.IFNA(VLOOKUP(_xlfn.CONCAT("T",E$1,"V",$D281,"A",$A281),Vulnerabilities!$G:$G,1,FALSE),"")</x:f>
      </x:c>
      <x:c r="F281" s="20" t="str">
        <x:f>_xlfn.IFNA(VLOOKUP(_xlfn.CONCAT("T",F$1,"V",$D281,"A",$A281),Vulnerabilities!$G:$G,1,FALSE),"")</x:f>
      </x:c>
      <x:c r="G281" s="20" t="str">
        <x:f>_xlfn.IFNA(VLOOKUP(_xlfn.CONCAT("T",G$1,"V",$D281,"A",$A281),Vulnerabilities!$G:$G,1,FALSE),"")</x:f>
      </x:c>
      <x:c r="H281" s="20" t="str">
        <x:f>_xlfn.IFNA(VLOOKUP(_xlfn.CONCAT("T",H$1,"V",$D281,"A",$A281),Vulnerabilities!$G:$G,1,FALSE),"")</x:f>
      </x:c>
      <x:c r="I281" s="20" t="str">
        <x:f>_xlfn.IFNA(VLOOKUP(_xlfn.CONCAT("T",I$1,"V",$D281,"A",$A281),Vulnerabilities!$G:$G,1,FALSE),"")</x:f>
      </x:c>
      <x:c r="J281" s="20" t="str">
        <x:f>_xlfn.IFNA(VLOOKUP(_xlfn.CONCAT("T",J$1,"V",$D281,"A",$A281),Vulnerabilities!$G:$G,1,FALSE),"")</x:f>
      </x:c>
      <x:c r="K281" s="20" t="str">
        <x:f>_xlfn.IFNA(VLOOKUP(_xlfn.CONCAT("T",K$1,"V",$D281,"A",$A281),Vulnerabilities!$G:$G,1,FALSE),"")</x:f>
      </x:c>
      <x:c r="L281" s="20" t="str">
        <x:f>_xlfn.IFNA(VLOOKUP(_xlfn.CONCAT("T",L$1,"V",$D281,"A",$A281),Vulnerabilities!$G:$G,1,FALSE),"")</x:f>
      </x:c>
      <x:c r="M281" s="20" t="str">
        <x:f>_xlfn.IFNA(VLOOKUP(_xlfn.CONCAT("T",M$1,"V",$D281,"A",$A281),Vulnerabilities!$G:$G,1,FALSE),"")</x:f>
      </x:c>
      <x:c r="N281" s="20" t="str">
        <x:f>_xlfn.IFNA(VLOOKUP(_xlfn.CONCAT("T",N$1,"V",$D281,"A",$A281),Vulnerabilities!$G:$G,1,FALSE),"")</x:f>
      </x:c>
      <x:c r="O281" s="20" t="str">
        <x:f>_xlfn.IFNA(VLOOKUP(_xlfn.CONCAT("T",O$1,"V",$D281,"A",$A281),Vulnerabilities!$G:$G,1,FALSE),"")</x:f>
      </x:c>
      <x:c r="P281" s="16" t="str">
        <x:f>_xlfn.IFNA(VLOOKUP(_xlfn.CONCAT("T",P$1,"V",$D281,"A",$A281),Vulnerabilities!$G:$G,1,FALSE),"")</x:f>
      </x:c>
    </x:row>
    <x:row r="282">
      <x:c r="A282" s="11">
        <x:f t="shared" si="4"/>
        <x:v>70</x:v>
      </x:c>
      <x:c r="B282" s="12" t="str">
        <x:f>IF(VLOOKUP($A282,Assets!$A:$C,2,FALSE)=0,"",VLOOKUP($A282,Assets!$A:$C,2,FALSE))</x:f>
      </x:c>
      <x:c r="C282" s="12" t="str">
        <x:f>IF(VLOOKUP($A282,Assets!$A:$C,3,FALSE)=0,"",VLOOKUP($A282,Assets!$A:$C,3,FALSE))</x:f>
      </x:c>
      <x:c r="D282" s="17">
        <x:v>4</x:v>
      </x:c>
      <x:c r="E282" s="21" t="str">
        <x:f>_xlfn.IFNA(VLOOKUP(_xlfn.CONCAT("T",E$1,"V",$D282,"A",$A282),Vulnerabilities!$G:$G,1,FALSE),"")</x:f>
      </x:c>
      <x:c r="F282" s="21" t="str">
        <x:f>_xlfn.IFNA(VLOOKUP(_xlfn.CONCAT("T",F$1,"V",$D282,"A",$A282),Vulnerabilities!$G:$G,1,FALSE),"")</x:f>
      </x:c>
      <x:c r="G282" s="21" t="str">
        <x:f>_xlfn.IFNA(VLOOKUP(_xlfn.CONCAT("T",G$1,"V",$D282,"A",$A282),Vulnerabilities!$G:$G,1,FALSE),"")</x:f>
      </x:c>
      <x:c r="H282" s="21" t="str">
        <x:f>_xlfn.IFNA(VLOOKUP(_xlfn.CONCAT("T",H$1,"V",$D282,"A",$A282),Vulnerabilities!$G:$G,1,FALSE),"")</x:f>
      </x:c>
      <x:c r="I282" s="21" t="str">
        <x:f>_xlfn.IFNA(VLOOKUP(_xlfn.CONCAT("T",I$1,"V",$D282,"A",$A282),Vulnerabilities!$G:$G,1,FALSE),"")</x:f>
      </x:c>
      <x:c r="J282" s="21" t="str">
        <x:f>_xlfn.IFNA(VLOOKUP(_xlfn.CONCAT("T",J$1,"V",$D282,"A",$A282),Vulnerabilities!$G:$G,1,FALSE),"")</x:f>
      </x:c>
      <x:c r="K282" s="21" t="str">
        <x:f>_xlfn.IFNA(VLOOKUP(_xlfn.CONCAT("T",K$1,"V",$D282,"A",$A282),Vulnerabilities!$G:$G,1,FALSE),"")</x:f>
      </x:c>
      <x:c r="L282" s="21" t="str">
        <x:f>_xlfn.IFNA(VLOOKUP(_xlfn.CONCAT("T",L$1,"V",$D282,"A",$A282),Vulnerabilities!$G:$G,1,FALSE),"")</x:f>
      </x:c>
      <x:c r="M282" s="21" t="str">
        <x:f>_xlfn.IFNA(VLOOKUP(_xlfn.CONCAT("T",M$1,"V",$D282,"A",$A282),Vulnerabilities!$G:$G,1,FALSE),"")</x:f>
      </x:c>
      <x:c r="N282" s="21" t="str">
        <x:f>_xlfn.IFNA(VLOOKUP(_xlfn.CONCAT("T",N$1,"V",$D282,"A",$A282),Vulnerabilities!$G:$G,1,FALSE),"")</x:f>
      </x:c>
      <x:c r="O282" s="21" t="str">
        <x:f>_xlfn.IFNA(VLOOKUP(_xlfn.CONCAT("T",O$1,"V",$D282,"A",$A282),Vulnerabilities!$G:$G,1,FALSE),"")</x:f>
      </x:c>
      <x:c r="P282" s="17" t="str">
        <x:f>_xlfn.IFNA(VLOOKUP(_xlfn.CONCAT("T",P$1,"V",$D282,"A",$A282),Vulnerabilities!$G:$G,1,FALSE),"")</x:f>
      </x:c>
    </x:row>
    <x:row r="283">
      <x:c r="A283" s="1" t="n">
        <x:f t="shared" ref="A283:A346" si="5">A279+1</x:f>
        <x:v>71</x:v>
      </x:c>
      <x:c r="B283" t="str">
        <x:f>IF(VLOOKUP($A283,Assets!$A:$C,2,FALSE)=0,"",VLOOKUP($A283,Assets!$A:$C,2,FALSE))</x:f>
      </x:c>
      <x:c r="C283" t="str">
        <x:f>IF(VLOOKUP($A283,Assets!$A:$C,3,FALSE)=0,"",VLOOKUP($A283,Assets!$A:$C,3,FALSE))</x:f>
      </x:c>
      <x:c r="D283" s="16">
        <x:v>1</x:v>
      </x:c>
      <x:c r="E283" s="20" t="str">
        <x:f>_xlfn.IFNA(VLOOKUP(_xlfn.CONCAT("T",E$1,"V",$D283,"A",$A283),Vulnerabilities!$G:$G,1,FALSE),"")</x:f>
      </x:c>
      <x:c r="F283" s="20" t="str">
        <x:f>_xlfn.IFNA(VLOOKUP(_xlfn.CONCAT("T",F$1,"V",$D283,"A",$A283),Vulnerabilities!$G:$G,1,FALSE),"")</x:f>
      </x:c>
      <x:c r="G283" s="20" t="str">
        <x:f>_xlfn.IFNA(VLOOKUP(_xlfn.CONCAT("T",G$1,"V",$D283,"A",$A283),Vulnerabilities!$G:$G,1,FALSE),"")</x:f>
      </x:c>
      <x:c r="H283" s="20" t="str">
        <x:f>_xlfn.IFNA(VLOOKUP(_xlfn.CONCAT("T",H$1,"V",$D283,"A",$A283),Vulnerabilities!$G:$G,1,FALSE),"")</x:f>
      </x:c>
      <x:c r="I283" s="20" t="str">
        <x:f>_xlfn.IFNA(VLOOKUP(_xlfn.CONCAT("T",I$1,"V",$D283,"A",$A283),Vulnerabilities!$G:$G,1,FALSE),"")</x:f>
      </x:c>
      <x:c r="J283" s="20" t="str">
        <x:f>_xlfn.IFNA(VLOOKUP(_xlfn.CONCAT("T",J$1,"V",$D283,"A",$A283),Vulnerabilities!$G:$G,1,FALSE),"")</x:f>
      </x:c>
      <x:c r="K283" s="20" t="str">
        <x:f>_xlfn.IFNA(VLOOKUP(_xlfn.CONCAT("T",K$1,"V",$D283,"A",$A283),Vulnerabilities!$G:$G,1,FALSE),"")</x:f>
      </x:c>
      <x:c r="L283" s="20" t="str">
        <x:f>_xlfn.IFNA(VLOOKUP(_xlfn.CONCAT("T",L$1,"V",$D283,"A",$A283),Vulnerabilities!$G:$G,1,FALSE),"")</x:f>
      </x:c>
      <x:c r="M283" s="20" t="str">
        <x:f>_xlfn.IFNA(VLOOKUP(_xlfn.CONCAT("T",M$1,"V",$D283,"A",$A283),Vulnerabilities!$G:$G,1,FALSE),"")</x:f>
      </x:c>
      <x:c r="N283" s="20" t="str">
        <x:f>_xlfn.IFNA(VLOOKUP(_xlfn.CONCAT("T",N$1,"V",$D283,"A",$A283),Vulnerabilities!$G:$G,1,FALSE),"")</x:f>
      </x:c>
      <x:c r="O283" s="20" t="str">
        <x:f>_xlfn.IFNA(VLOOKUP(_xlfn.CONCAT("T",O$1,"V",$D283,"A",$A283),Vulnerabilities!$G:$G,1,FALSE),"")</x:f>
      </x:c>
      <x:c r="P283" s="16" t="str">
        <x:f>_xlfn.IFNA(VLOOKUP(_xlfn.CONCAT("T",P$1,"V",$D283,"A",$A283),Vulnerabilities!$G:$G,1,FALSE),"")</x:f>
      </x:c>
    </x:row>
    <x:row r="284">
      <x:c r="A284" s="1">
        <x:f t="shared" si="5"/>
        <x:v>71</x:v>
      </x:c>
      <x:c r="B284" t="str">
        <x:f>IF(VLOOKUP($A284,Assets!$A:$C,2,FALSE)=0,"",VLOOKUP($A284,Assets!$A:$C,2,FALSE))</x:f>
      </x:c>
      <x:c r="C284" t="str">
        <x:f>IF(VLOOKUP($A284,Assets!$A:$C,3,FALSE)=0,"",VLOOKUP($A284,Assets!$A:$C,3,FALSE))</x:f>
      </x:c>
      <x:c r="D284" s="16">
        <x:v>2</x:v>
      </x:c>
      <x:c r="E284" s="20" t="str">
        <x:f>_xlfn.IFNA(VLOOKUP(_xlfn.CONCAT("T",E$1,"V",$D284,"A",$A284),Vulnerabilities!$G:$G,1,FALSE),"")</x:f>
      </x:c>
      <x:c r="F284" s="20" t="str">
        <x:f>_xlfn.IFNA(VLOOKUP(_xlfn.CONCAT("T",F$1,"V",$D284,"A",$A284),Vulnerabilities!$G:$G,1,FALSE),"")</x:f>
      </x:c>
      <x:c r="G284" s="20" t="str">
        <x:f>_xlfn.IFNA(VLOOKUP(_xlfn.CONCAT("T",G$1,"V",$D284,"A",$A284),Vulnerabilities!$G:$G,1,FALSE),"")</x:f>
      </x:c>
      <x:c r="H284" s="20" t="str">
        <x:f>_xlfn.IFNA(VLOOKUP(_xlfn.CONCAT("T",H$1,"V",$D284,"A",$A284),Vulnerabilities!$G:$G,1,FALSE),"")</x:f>
      </x:c>
      <x:c r="I284" s="20" t="str">
        <x:f>_xlfn.IFNA(VLOOKUP(_xlfn.CONCAT("T",I$1,"V",$D284,"A",$A284),Vulnerabilities!$G:$G,1,FALSE),"")</x:f>
      </x:c>
      <x:c r="J284" s="20" t="str">
        <x:f>_xlfn.IFNA(VLOOKUP(_xlfn.CONCAT("T",J$1,"V",$D284,"A",$A284),Vulnerabilities!$G:$G,1,FALSE),"")</x:f>
      </x:c>
      <x:c r="K284" s="20" t="str">
        <x:f>_xlfn.IFNA(VLOOKUP(_xlfn.CONCAT("T",K$1,"V",$D284,"A",$A284),Vulnerabilities!$G:$G,1,FALSE),"")</x:f>
      </x:c>
      <x:c r="L284" s="20" t="str">
        <x:f>_xlfn.IFNA(VLOOKUP(_xlfn.CONCAT("T",L$1,"V",$D284,"A",$A284),Vulnerabilities!$G:$G,1,FALSE),"")</x:f>
      </x:c>
      <x:c r="M284" s="20" t="str">
        <x:f>_xlfn.IFNA(VLOOKUP(_xlfn.CONCAT("T",M$1,"V",$D284,"A",$A284),Vulnerabilities!$G:$G,1,FALSE),"")</x:f>
      </x:c>
      <x:c r="N284" s="20" t="str">
        <x:f>_xlfn.IFNA(VLOOKUP(_xlfn.CONCAT("T",N$1,"V",$D284,"A",$A284),Vulnerabilities!$G:$G,1,FALSE),"")</x:f>
      </x:c>
      <x:c r="O284" s="20" t="str">
        <x:f>_xlfn.IFNA(VLOOKUP(_xlfn.CONCAT("T",O$1,"V",$D284,"A",$A284),Vulnerabilities!$G:$G,1,FALSE),"")</x:f>
      </x:c>
      <x:c r="P284" s="16" t="str">
        <x:f>_xlfn.IFNA(VLOOKUP(_xlfn.CONCAT("T",P$1,"V",$D284,"A",$A284),Vulnerabilities!$G:$G,1,FALSE),"")</x:f>
      </x:c>
    </x:row>
    <x:row r="285">
      <x:c r="A285" s="1">
        <x:f t="shared" si="5"/>
        <x:v>71</x:v>
      </x:c>
      <x:c r="B285" t="str">
        <x:f>IF(VLOOKUP($A285,Assets!$A:$C,2,FALSE)=0,"",VLOOKUP($A285,Assets!$A:$C,2,FALSE))</x:f>
      </x:c>
      <x:c r="C285" t="str">
        <x:f>IF(VLOOKUP($A285,Assets!$A:$C,3,FALSE)=0,"",VLOOKUP($A285,Assets!$A:$C,3,FALSE))</x:f>
      </x:c>
      <x:c r="D285" s="16">
        <x:v>3</x:v>
      </x:c>
      <x:c r="E285" s="20" t="str">
        <x:f>_xlfn.IFNA(VLOOKUP(_xlfn.CONCAT("T",E$1,"V",$D285,"A",$A285),Vulnerabilities!$G:$G,1,FALSE),"")</x:f>
      </x:c>
      <x:c r="F285" s="20" t="str">
        <x:f>_xlfn.IFNA(VLOOKUP(_xlfn.CONCAT("T",F$1,"V",$D285,"A",$A285),Vulnerabilities!$G:$G,1,FALSE),"")</x:f>
      </x:c>
      <x:c r="G285" s="20" t="str">
        <x:f>_xlfn.IFNA(VLOOKUP(_xlfn.CONCAT("T",G$1,"V",$D285,"A",$A285),Vulnerabilities!$G:$G,1,FALSE),"")</x:f>
      </x:c>
      <x:c r="H285" s="20" t="str">
        <x:f>_xlfn.IFNA(VLOOKUP(_xlfn.CONCAT("T",H$1,"V",$D285,"A",$A285),Vulnerabilities!$G:$G,1,FALSE),"")</x:f>
      </x:c>
      <x:c r="I285" s="20" t="str">
        <x:f>_xlfn.IFNA(VLOOKUP(_xlfn.CONCAT("T",I$1,"V",$D285,"A",$A285),Vulnerabilities!$G:$G,1,FALSE),"")</x:f>
      </x:c>
      <x:c r="J285" s="20" t="str">
        <x:f>_xlfn.IFNA(VLOOKUP(_xlfn.CONCAT("T",J$1,"V",$D285,"A",$A285),Vulnerabilities!$G:$G,1,FALSE),"")</x:f>
      </x:c>
      <x:c r="K285" s="20" t="str">
        <x:f>_xlfn.IFNA(VLOOKUP(_xlfn.CONCAT("T",K$1,"V",$D285,"A",$A285),Vulnerabilities!$G:$G,1,FALSE),"")</x:f>
      </x:c>
      <x:c r="L285" s="20" t="str">
        <x:f>_xlfn.IFNA(VLOOKUP(_xlfn.CONCAT("T",L$1,"V",$D285,"A",$A285),Vulnerabilities!$G:$G,1,FALSE),"")</x:f>
      </x:c>
      <x:c r="M285" s="20" t="str">
        <x:f>_xlfn.IFNA(VLOOKUP(_xlfn.CONCAT("T",M$1,"V",$D285,"A",$A285),Vulnerabilities!$G:$G,1,FALSE),"")</x:f>
      </x:c>
      <x:c r="N285" s="20" t="str">
        <x:f>_xlfn.IFNA(VLOOKUP(_xlfn.CONCAT("T",N$1,"V",$D285,"A",$A285),Vulnerabilities!$G:$G,1,FALSE),"")</x:f>
      </x:c>
      <x:c r="O285" s="20" t="str">
        <x:f>_xlfn.IFNA(VLOOKUP(_xlfn.CONCAT("T",O$1,"V",$D285,"A",$A285),Vulnerabilities!$G:$G,1,FALSE),"")</x:f>
      </x:c>
      <x:c r="P285" s="16" t="str">
        <x:f>_xlfn.IFNA(VLOOKUP(_xlfn.CONCAT("T",P$1,"V",$D285,"A",$A285),Vulnerabilities!$G:$G,1,FALSE),"")</x:f>
      </x:c>
    </x:row>
    <x:row r="286">
      <x:c r="A286" s="11">
        <x:f t="shared" si="5"/>
        <x:v>71</x:v>
      </x:c>
      <x:c r="B286" s="12" t="str">
        <x:f>IF(VLOOKUP($A286,Assets!$A:$C,2,FALSE)=0,"",VLOOKUP($A286,Assets!$A:$C,2,FALSE))</x:f>
      </x:c>
      <x:c r="C286" s="12" t="str">
        <x:f>IF(VLOOKUP($A286,Assets!$A:$C,3,FALSE)=0,"",VLOOKUP($A286,Assets!$A:$C,3,FALSE))</x:f>
      </x:c>
      <x:c r="D286" s="17">
        <x:v>4</x:v>
      </x:c>
      <x:c r="E286" s="21" t="str">
        <x:f>_xlfn.IFNA(VLOOKUP(_xlfn.CONCAT("T",E$1,"V",$D286,"A",$A286),Vulnerabilities!$G:$G,1,FALSE),"")</x:f>
      </x:c>
      <x:c r="F286" s="21" t="str">
        <x:f>_xlfn.IFNA(VLOOKUP(_xlfn.CONCAT("T",F$1,"V",$D286,"A",$A286),Vulnerabilities!$G:$G,1,FALSE),"")</x:f>
      </x:c>
      <x:c r="G286" s="21" t="str">
        <x:f>_xlfn.IFNA(VLOOKUP(_xlfn.CONCAT("T",G$1,"V",$D286,"A",$A286),Vulnerabilities!$G:$G,1,FALSE),"")</x:f>
      </x:c>
      <x:c r="H286" s="21" t="str">
        <x:f>_xlfn.IFNA(VLOOKUP(_xlfn.CONCAT("T",H$1,"V",$D286,"A",$A286),Vulnerabilities!$G:$G,1,FALSE),"")</x:f>
      </x:c>
      <x:c r="I286" s="21" t="str">
        <x:f>_xlfn.IFNA(VLOOKUP(_xlfn.CONCAT("T",I$1,"V",$D286,"A",$A286),Vulnerabilities!$G:$G,1,FALSE),"")</x:f>
      </x:c>
      <x:c r="J286" s="21" t="str">
        <x:f>_xlfn.IFNA(VLOOKUP(_xlfn.CONCAT("T",J$1,"V",$D286,"A",$A286),Vulnerabilities!$G:$G,1,FALSE),"")</x:f>
      </x:c>
      <x:c r="K286" s="21" t="str">
        <x:f>_xlfn.IFNA(VLOOKUP(_xlfn.CONCAT("T",K$1,"V",$D286,"A",$A286),Vulnerabilities!$G:$G,1,FALSE),"")</x:f>
      </x:c>
      <x:c r="L286" s="21" t="str">
        <x:f>_xlfn.IFNA(VLOOKUP(_xlfn.CONCAT("T",L$1,"V",$D286,"A",$A286),Vulnerabilities!$G:$G,1,FALSE),"")</x:f>
      </x:c>
      <x:c r="M286" s="21" t="str">
        <x:f>_xlfn.IFNA(VLOOKUP(_xlfn.CONCAT("T",M$1,"V",$D286,"A",$A286),Vulnerabilities!$G:$G,1,FALSE),"")</x:f>
      </x:c>
      <x:c r="N286" s="21" t="str">
        <x:f>_xlfn.IFNA(VLOOKUP(_xlfn.CONCAT("T",N$1,"V",$D286,"A",$A286),Vulnerabilities!$G:$G,1,FALSE),"")</x:f>
      </x:c>
      <x:c r="O286" s="21" t="str">
        <x:f>_xlfn.IFNA(VLOOKUP(_xlfn.CONCAT("T",O$1,"V",$D286,"A",$A286),Vulnerabilities!$G:$G,1,FALSE),"")</x:f>
      </x:c>
      <x:c r="P286" s="17" t="str">
        <x:f>_xlfn.IFNA(VLOOKUP(_xlfn.CONCAT("T",P$1,"V",$D286,"A",$A286),Vulnerabilities!$G:$G,1,FALSE),"")</x:f>
      </x:c>
    </x:row>
    <x:row r="287">
      <x:c r="A287" s="1">
        <x:f t="shared" si="5"/>
        <x:v>72</x:v>
      </x:c>
      <x:c r="B287" t="str">
        <x:f>IF(VLOOKUP($A287,Assets!$A:$C,2,FALSE)=0,"",VLOOKUP($A287,Assets!$A:$C,2,FALSE))</x:f>
      </x:c>
      <x:c r="C287" t="str">
        <x:f>IF(VLOOKUP($A287,Assets!$A:$C,3,FALSE)=0,"",VLOOKUP($A287,Assets!$A:$C,3,FALSE))</x:f>
      </x:c>
      <x:c r="D287" s="16">
        <x:v>1</x:v>
      </x:c>
      <x:c r="E287" s="20" t="str">
        <x:f>_xlfn.IFNA(VLOOKUP(_xlfn.CONCAT("T",E$1,"V",$D287,"A",$A287),Vulnerabilities!$G:$G,1,FALSE),"")</x:f>
      </x:c>
      <x:c r="F287" s="20" t="str">
        <x:f>_xlfn.IFNA(VLOOKUP(_xlfn.CONCAT("T",F$1,"V",$D287,"A",$A287),Vulnerabilities!$G:$G,1,FALSE),"")</x:f>
      </x:c>
      <x:c r="G287" s="20" t="str">
        <x:f>_xlfn.IFNA(VLOOKUP(_xlfn.CONCAT("T",G$1,"V",$D287,"A",$A287),Vulnerabilities!$G:$G,1,FALSE),"")</x:f>
      </x:c>
      <x:c r="H287" s="20" t="str">
        <x:f>_xlfn.IFNA(VLOOKUP(_xlfn.CONCAT("T",H$1,"V",$D287,"A",$A287),Vulnerabilities!$G:$G,1,FALSE),"")</x:f>
      </x:c>
      <x:c r="I287" s="20" t="str">
        <x:f>_xlfn.IFNA(VLOOKUP(_xlfn.CONCAT("T",I$1,"V",$D287,"A",$A287),Vulnerabilities!$G:$G,1,FALSE),"")</x:f>
      </x:c>
      <x:c r="J287" s="20" t="str">
        <x:f>_xlfn.IFNA(VLOOKUP(_xlfn.CONCAT("T",J$1,"V",$D287,"A",$A287),Vulnerabilities!$G:$G,1,FALSE),"")</x:f>
      </x:c>
      <x:c r="K287" s="20" t="str">
        <x:f>_xlfn.IFNA(VLOOKUP(_xlfn.CONCAT("T",K$1,"V",$D287,"A",$A287),Vulnerabilities!$G:$G,1,FALSE),"")</x:f>
      </x:c>
      <x:c r="L287" s="20" t="str">
        <x:f>_xlfn.IFNA(VLOOKUP(_xlfn.CONCAT("T",L$1,"V",$D287,"A",$A287),Vulnerabilities!$G:$G,1,FALSE),"")</x:f>
      </x:c>
      <x:c r="M287" s="20" t="str">
        <x:f>_xlfn.IFNA(VLOOKUP(_xlfn.CONCAT("T",M$1,"V",$D287,"A",$A287),Vulnerabilities!$G:$G,1,FALSE),"")</x:f>
      </x:c>
      <x:c r="N287" s="20" t="str">
        <x:f>_xlfn.IFNA(VLOOKUP(_xlfn.CONCAT("T",N$1,"V",$D287,"A",$A287),Vulnerabilities!$G:$G,1,FALSE),"")</x:f>
      </x:c>
      <x:c r="O287" s="20" t="str">
        <x:f>_xlfn.IFNA(VLOOKUP(_xlfn.CONCAT("T",O$1,"V",$D287,"A",$A287),Vulnerabilities!$G:$G,1,FALSE),"")</x:f>
      </x:c>
      <x:c r="P287" s="16" t="str">
        <x:f>_xlfn.IFNA(VLOOKUP(_xlfn.CONCAT("T",P$1,"V",$D287,"A",$A287),Vulnerabilities!$G:$G,1,FALSE),"")</x:f>
      </x:c>
    </x:row>
    <x:row r="288">
      <x:c r="A288" s="1">
        <x:f t="shared" si="5"/>
        <x:v>72</x:v>
      </x:c>
      <x:c r="B288" t="str">
        <x:f>IF(VLOOKUP($A288,Assets!$A:$C,2,FALSE)=0,"",VLOOKUP($A288,Assets!$A:$C,2,FALSE))</x:f>
      </x:c>
      <x:c r="C288" t="str">
        <x:f>IF(VLOOKUP($A288,Assets!$A:$C,3,FALSE)=0,"",VLOOKUP($A288,Assets!$A:$C,3,FALSE))</x:f>
      </x:c>
      <x:c r="D288" s="16">
        <x:v>2</x:v>
      </x:c>
      <x:c r="E288" s="20" t="str">
        <x:f>_xlfn.IFNA(VLOOKUP(_xlfn.CONCAT("T",E$1,"V",$D288,"A",$A288),Vulnerabilities!$G:$G,1,FALSE),"")</x:f>
      </x:c>
      <x:c r="F288" s="20" t="str">
        <x:f>_xlfn.IFNA(VLOOKUP(_xlfn.CONCAT("T",F$1,"V",$D288,"A",$A288),Vulnerabilities!$G:$G,1,FALSE),"")</x:f>
      </x:c>
      <x:c r="G288" s="20" t="str">
        <x:f>_xlfn.IFNA(VLOOKUP(_xlfn.CONCAT("T",G$1,"V",$D288,"A",$A288),Vulnerabilities!$G:$G,1,FALSE),"")</x:f>
      </x:c>
      <x:c r="H288" s="20" t="str">
        <x:f>_xlfn.IFNA(VLOOKUP(_xlfn.CONCAT("T",H$1,"V",$D288,"A",$A288),Vulnerabilities!$G:$G,1,FALSE),"")</x:f>
      </x:c>
      <x:c r="I288" s="20" t="str">
        <x:f>_xlfn.IFNA(VLOOKUP(_xlfn.CONCAT("T",I$1,"V",$D288,"A",$A288),Vulnerabilities!$G:$G,1,FALSE),"")</x:f>
      </x:c>
      <x:c r="J288" s="20" t="str">
        <x:f>_xlfn.IFNA(VLOOKUP(_xlfn.CONCAT("T",J$1,"V",$D288,"A",$A288),Vulnerabilities!$G:$G,1,FALSE),"")</x:f>
      </x:c>
      <x:c r="K288" s="20" t="str">
        <x:f>_xlfn.IFNA(VLOOKUP(_xlfn.CONCAT("T",K$1,"V",$D288,"A",$A288),Vulnerabilities!$G:$G,1,FALSE),"")</x:f>
      </x:c>
      <x:c r="L288" s="20" t="str">
        <x:f>_xlfn.IFNA(VLOOKUP(_xlfn.CONCAT("T",L$1,"V",$D288,"A",$A288),Vulnerabilities!$G:$G,1,FALSE),"")</x:f>
      </x:c>
      <x:c r="M288" s="20" t="str">
        <x:f>_xlfn.IFNA(VLOOKUP(_xlfn.CONCAT("T",M$1,"V",$D288,"A",$A288),Vulnerabilities!$G:$G,1,FALSE),"")</x:f>
      </x:c>
      <x:c r="N288" s="20" t="str">
        <x:f>_xlfn.IFNA(VLOOKUP(_xlfn.CONCAT("T",N$1,"V",$D288,"A",$A288),Vulnerabilities!$G:$G,1,FALSE),"")</x:f>
      </x:c>
      <x:c r="O288" s="20" t="str">
        <x:f>_xlfn.IFNA(VLOOKUP(_xlfn.CONCAT("T",O$1,"V",$D288,"A",$A288),Vulnerabilities!$G:$G,1,FALSE),"")</x:f>
      </x:c>
      <x:c r="P288" s="16" t="str">
        <x:f>_xlfn.IFNA(VLOOKUP(_xlfn.CONCAT("T",P$1,"V",$D288,"A",$A288),Vulnerabilities!$G:$G,1,FALSE),"")</x:f>
      </x:c>
    </x:row>
    <x:row r="289">
      <x:c r="A289" s="1">
        <x:f t="shared" si="5"/>
        <x:v>72</x:v>
      </x:c>
      <x:c r="B289" t="str">
        <x:f>IF(VLOOKUP($A289,Assets!$A:$C,2,FALSE)=0,"",VLOOKUP($A289,Assets!$A:$C,2,FALSE))</x:f>
      </x:c>
      <x:c r="C289" t="str">
        <x:f>IF(VLOOKUP($A289,Assets!$A:$C,3,FALSE)=0,"",VLOOKUP($A289,Assets!$A:$C,3,FALSE))</x:f>
      </x:c>
      <x:c r="D289" s="16">
        <x:v>3</x:v>
      </x:c>
      <x:c r="E289" s="20" t="str">
        <x:f>_xlfn.IFNA(VLOOKUP(_xlfn.CONCAT("T",E$1,"V",$D289,"A",$A289),Vulnerabilities!$G:$G,1,FALSE),"")</x:f>
      </x:c>
      <x:c r="F289" s="20" t="str">
        <x:f>_xlfn.IFNA(VLOOKUP(_xlfn.CONCAT("T",F$1,"V",$D289,"A",$A289),Vulnerabilities!$G:$G,1,FALSE),"")</x:f>
      </x:c>
      <x:c r="G289" s="20" t="str">
        <x:f>_xlfn.IFNA(VLOOKUP(_xlfn.CONCAT("T",G$1,"V",$D289,"A",$A289),Vulnerabilities!$G:$G,1,FALSE),"")</x:f>
      </x:c>
      <x:c r="H289" s="20" t="str">
        <x:f>_xlfn.IFNA(VLOOKUP(_xlfn.CONCAT("T",H$1,"V",$D289,"A",$A289),Vulnerabilities!$G:$G,1,FALSE),"")</x:f>
      </x:c>
      <x:c r="I289" s="20" t="str">
        <x:f>_xlfn.IFNA(VLOOKUP(_xlfn.CONCAT("T",I$1,"V",$D289,"A",$A289),Vulnerabilities!$G:$G,1,FALSE),"")</x:f>
      </x:c>
      <x:c r="J289" s="20" t="str">
        <x:f>_xlfn.IFNA(VLOOKUP(_xlfn.CONCAT("T",J$1,"V",$D289,"A",$A289),Vulnerabilities!$G:$G,1,FALSE),"")</x:f>
      </x:c>
      <x:c r="K289" s="20" t="str">
        <x:f>_xlfn.IFNA(VLOOKUP(_xlfn.CONCAT("T",K$1,"V",$D289,"A",$A289),Vulnerabilities!$G:$G,1,FALSE),"")</x:f>
      </x:c>
      <x:c r="L289" s="20" t="str">
        <x:f>_xlfn.IFNA(VLOOKUP(_xlfn.CONCAT("T",L$1,"V",$D289,"A",$A289),Vulnerabilities!$G:$G,1,FALSE),"")</x:f>
      </x:c>
      <x:c r="M289" s="20" t="str">
        <x:f>_xlfn.IFNA(VLOOKUP(_xlfn.CONCAT("T",M$1,"V",$D289,"A",$A289),Vulnerabilities!$G:$G,1,FALSE),"")</x:f>
      </x:c>
      <x:c r="N289" s="20" t="str">
        <x:f>_xlfn.IFNA(VLOOKUP(_xlfn.CONCAT("T",N$1,"V",$D289,"A",$A289),Vulnerabilities!$G:$G,1,FALSE),"")</x:f>
      </x:c>
      <x:c r="O289" s="20" t="str">
        <x:f>_xlfn.IFNA(VLOOKUP(_xlfn.CONCAT("T",O$1,"V",$D289,"A",$A289),Vulnerabilities!$G:$G,1,FALSE),"")</x:f>
      </x:c>
      <x:c r="P289" s="16" t="str">
        <x:f>_xlfn.IFNA(VLOOKUP(_xlfn.CONCAT("T",P$1,"V",$D289,"A",$A289),Vulnerabilities!$G:$G,1,FALSE),"")</x:f>
      </x:c>
    </x:row>
    <x:row r="290">
      <x:c r="A290" s="11">
        <x:f t="shared" si="5"/>
        <x:v>72</x:v>
      </x:c>
      <x:c r="B290" s="12" t="str">
        <x:f>IF(VLOOKUP($A290,Assets!$A:$C,2,FALSE)=0,"",VLOOKUP($A290,Assets!$A:$C,2,FALSE))</x:f>
      </x:c>
      <x:c r="C290" s="12" t="str">
        <x:f>IF(VLOOKUP($A290,Assets!$A:$C,3,FALSE)=0,"",VLOOKUP($A290,Assets!$A:$C,3,FALSE))</x:f>
      </x:c>
      <x:c r="D290" s="17">
        <x:v>4</x:v>
      </x:c>
      <x:c r="E290" s="21" t="str">
        <x:f>_xlfn.IFNA(VLOOKUP(_xlfn.CONCAT("T",E$1,"V",$D290,"A",$A290),Vulnerabilities!$G:$G,1,FALSE),"")</x:f>
      </x:c>
      <x:c r="F290" s="21" t="str">
        <x:f>_xlfn.IFNA(VLOOKUP(_xlfn.CONCAT("T",F$1,"V",$D290,"A",$A290),Vulnerabilities!$G:$G,1,FALSE),"")</x:f>
      </x:c>
      <x:c r="G290" s="21" t="str">
        <x:f>_xlfn.IFNA(VLOOKUP(_xlfn.CONCAT("T",G$1,"V",$D290,"A",$A290),Vulnerabilities!$G:$G,1,FALSE),"")</x:f>
      </x:c>
      <x:c r="H290" s="21" t="str">
        <x:f>_xlfn.IFNA(VLOOKUP(_xlfn.CONCAT("T",H$1,"V",$D290,"A",$A290),Vulnerabilities!$G:$G,1,FALSE),"")</x:f>
      </x:c>
      <x:c r="I290" s="21" t="str">
        <x:f>_xlfn.IFNA(VLOOKUP(_xlfn.CONCAT("T",I$1,"V",$D290,"A",$A290),Vulnerabilities!$G:$G,1,FALSE),"")</x:f>
      </x:c>
      <x:c r="J290" s="21" t="str">
        <x:f>_xlfn.IFNA(VLOOKUP(_xlfn.CONCAT("T",J$1,"V",$D290,"A",$A290),Vulnerabilities!$G:$G,1,FALSE),"")</x:f>
      </x:c>
      <x:c r="K290" s="21" t="str">
        <x:f>_xlfn.IFNA(VLOOKUP(_xlfn.CONCAT("T",K$1,"V",$D290,"A",$A290),Vulnerabilities!$G:$G,1,FALSE),"")</x:f>
      </x:c>
      <x:c r="L290" s="21" t="str">
        <x:f>_xlfn.IFNA(VLOOKUP(_xlfn.CONCAT("T",L$1,"V",$D290,"A",$A290),Vulnerabilities!$G:$G,1,FALSE),"")</x:f>
      </x:c>
      <x:c r="M290" s="21" t="str">
        <x:f>_xlfn.IFNA(VLOOKUP(_xlfn.CONCAT("T",M$1,"V",$D290,"A",$A290),Vulnerabilities!$G:$G,1,FALSE),"")</x:f>
      </x:c>
      <x:c r="N290" s="21" t="str">
        <x:f>_xlfn.IFNA(VLOOKUP(_xlfn.CONCAT("T",N$1,"V",$D290,"A",$A290),Vulnerabilities!$G:$G,1,FALSE),"")</x:f>
      </x:c>
      <x:c r="O290" s="21" t="str">
        <x:f>_xlfn.IFNA(VLOOKUP(_xlfn.CONCAT("T",O$1,"V",$D290,"A",$A290),Vulnerabilities!$G:$G,1,FALSE),"")</x:f>
      </x:c>
      <x:c r="P290" s="17" t="str">
        <x:f>_xlfn.IFNA(VLOOKUP(_xlfn.CONCAT("T",P$1,"V",$D290,"A",$A290),Vulnerabilities!$G:$G,1,FALSE),"")</x:f>
      </x:c>
    </x:row>
    <x:row r="291">
      <x:c r="A291" s="1">
        <x:f t="shared" si="5"/>
        <x:v>73</x:v>
      </x:c>
      <x:c r="B291" t="str">
        <x:f>IF(VLOOKUP($A291,Assets!$A:$C,2,FALSE)=0,"",VLOOKUP($A291,Assets!$A:$C,2,FALSE))</x:f>
      </x:c>
      <x:c r="C291" t="str">
        <x:f>IF(VLOOKUP($A291,Assets!$A:$C,3,FALSE)=0,"",VLOOKUP($A291,Assets!$A:$C,3,FALSE))</x:f>
      </x:c>
      <x:c r="D291" s="16">
        <x:v>1</x:v>
      </x:c>
      <x:c r="E291" s="20" t="str">
        <x:f>_xlfn.IFNA(VLOOKUP(_xlfn.CONCAT("T",E$1,"V",$D291,"A",$A291),Vulnerabilities!$G:$G,1,FALSE),"")</x:f>
      </x:c>
      <x:c r="F291" s="20" t="str">
        <x:f>_xlfn.IFNA(VLOOKUP(_xlfn.CONCAT("T",F$1,"V",$D291,"A",$A291),Vulnerabilities!$G:$G,1,FALSE),"")</x:f>
      </x:c>
      <x:c r="G291" s="20" t="str">
        <x:f>_xlfn.IFNA(VLOOKUP(_xlfn.CONCAT("T",G$1,"V",$D291,"A",$A291),Vulnerabilities!$G:$G,1,FALSE),"")</x:f>
      </x:c>
      <x:c r="H291" s="20" t="str">
        <x:f>_xlfn.IFNA(VLOOKUP(_xlfn.CONCAT("T",H$1,"V",$D291,"A",$A291),Vulnerabilities!$G:$G,1,FALSE),"")</x:f>
      </x:c>
      <x:c r="I291" s="20" t="str">
        <x:f>_xlfn.IFNA(VLOOKUP(_xlfn.CONCAT("T",I$1,"V",$D291,"A",$A291),Vulnerabilities!$G:$G,1,FALSE),"")</x:f>
      </x:c>
      <x:c r="J291" s="20" t="str">
        <x:f>_xlfn.IFNA(VLOOKUP(_xlfn.CONCAT("T",J$1,"V",$D291,"A",$A291),Vulnerabilities!$G:$G,1,FALSE),"")</x:f>
      </x:c>
      <x:c r="K291" s="20" t="str">
        <x:f>_xlfn.IFNA(VLOOKUP(_xlfn.CONCAT("T",K$1,"V",$D291,"A",$A291),Vulnerabilities!$G:$G,1,FALSE),"")</x:f>
      </x:c>
      <x:c r="L291" s="20" t="str">
        <x:f>_xlfn.IFNA(VLOOKUP(_xlfn.CONCAT("T",L$1,"V",$D291,"A",$A291),Vulnerabilities!$G:$G,1,FALSE),"")</x:f>
      </x:c>
      <x:c r="M291" s="20" t="str">
        <x:f>_xlfn.IFNA(VLOOKUP(_xlfn.CONCAT("T",M$1,"V",$D291,"A",$A291),Vulnerabilities!$G:$G,1,FALSE),"")</x:f>
      </x:c>
      <x:c r="N291" s="20" t="str">
        <x:f>_xlfn.IFNA(VLOOKUP(_xlfn.CONCAT("T",N$1,"V",$D291,"A",$A291),Vulnerabilities!$G:$G,1,FALSE),"")</x:f>
      </x:c>
      <x:c r="O291" s="20" t="str">
        <x:f>_xlfn.IFNA(VLOOKUP(_xlfn.CONCAT("T",O$1,"V",$D291,"A",$A291),Vulnerabilities!$G:$G,1,FALSE),"")</x:f>
      </x:c>
      <x:c r="P291" s="16" t="str">
        <x:f>_xlfn.IFNA(VLOOKUP(_xlfn.CONCAT("T",P$1,"V",$D291,"A",$A291),Vulnerabilities!$G:$G,1,FALSE),"")</x:f>
      </x:c>
    </x:row>
    <x:row r="292">
      <x:c r="A292" s="1">
        <x:f t="shared" si="5"/>
        <x:v>73</x:v>
      </x:c>
      <x:c r="B292" t="str">
        <x:f>IF(VLOOKUP($A292,Assets!$A:$C,2,FALSE)=0,"",VLOOKUP($A292,Assets!$A:$C,2,FALSE))</x:f>
      </x:c>
      <x:c r="C292" t="str">
        <x:f>IF(VLOOKUP($A292,Assets!$A:$C,3,FALSE)=0,"",VLOOKUP($A292,Assets!$A:$C,3,FALSE))</x:f>
      </x:c>
      <x:c r="D292" s="16">
        <x:v>2</x:v>
      </x:c>
      <x:c r="E292" s="20" t="str">
        <x:f>_xlfn.IFNA(VLOOKUP(_xlfn.CONCAT("T",E$1,"V",$D292,"A",$A292),Vulnerabilities!$G:$G,1,FALSE),"")</x:f>
      </x:c>
      <x:c r="F292" s="20" t="str">
        <x:f>_xlfn.IFNA(VLOOKUP(_xlfn.CONCAT("T",F$1,"V",$D292,"A",$A292),Vulnerabilities!$G:$G,1,FALSE),"")</x:f>
      </x:c>
      <x:c r="G292" s="20" t="str">
        <x:f>_xlfn.IFNA(VLOOKUP(_xlfn.CONCAT("T",G$1,"V",$D292,"A",$A292),Vulnerabilities!$G:$G,1,FALSE),"")</x:f>
      </x:c>
      <x:c r="H292" s="20" t="str">
        <x:f>_xlfn.IFNA(VLOOKUP(_xlfn.CONCAT("T",H$1,"V",$D292,"A",$A292),Vulnerabilities!$G:$G,1,FALSE),"")</x:f>
      </x:c>
      <x:c r="I292" s="20" t="str">
        <x:f>_xlfn.IFNA(VLOOKUP(_xlfn.CONCAT("T",I$1,"V",$D292,"A",$A292),Vulnerabilities!$G:$G,1,FALSE),"")</x:f>
      </x:c>
      <x:c r="J292" s="20" t="str">
        <x:f>_xlfn.IFNA(VLOOKUP(_xlfn.CONCAT("T",J$1,"V",$D292,"A",$A292),Vulnerabilities!$G:$G,1,FALSE),"")</x:f>
      </x:c>
      <x:c r="K292" s="20" t="str">
        <x:f>_xlfn.IFNA(VLOOKUP(_xlfn.CONCAT("T",K$1,"V",$D292,"A",$A292),Vulnerabilities!$G:$G,1,FALSE),"")</x:f>
      </x:c>
      <x:c r="L292" s="20" t="str">
        <x:f>_xlfn.IFNA(VLOOKUP(_xlfn.CONCAT("T",L$1,"V",$D292,"A",$A292),Vulnerabilities!$G:$G,1,FALSE),"")</x:f>
      </x:c>
      <x:c r="M292" s="20" t="str">
        <x:f>_xlfn.IFNA(VLOOKUP(_xlfn.CONCAT("T",M$1,"V",$D292,"A",$A292),Vulnerabilities!$G:$G,1,FALSE),"")</x:f>
      </x:c>
      <x:c r="N292" s="20" t="str">
        <x:f>_xlfn.IFNA(VLOOKUP(_xlfn.CONCAT("T",N$1,"V",$D292,"A",$A292),Vulnerabilities!$G:$G,1,FALSE),"")</x:f>
      </x:c>
      <x:c r="O292" s="20" t="str">
        <x:f>_xlfn.IFNA(VLOOKUP(_xlfn.CONCAT("T",O$1,"V",$D292,"A",$A292),Vulnerabilities!$G:$G,1,FALSE),"")</x:f>
      </x:c>
      <x:c r="P292" s="16" t="str">
        <x:f>_xlfn.IFNA(VLOOKUP(_xlfn.CONCAT("T",P$1,"V",$D292,"A",$A292),Vulnerabilities!$G:$G,1,FALSE),"")</x:f>
      </x:c>
    </x:row>
    <x:row r="293">
      <x:c r="A293" s="1">
        <x:f t="shared" si="5"/>
        <x:v>73</x:v>
      </x:c>
      <x:c r="B293" t="str">
        <x:f>IF(VLOOKUP($A293,Assets!$A:$C,2,FALSE)=0,"",VLOOKUP($A293,Assets!$A:$C,2,FALSE))</x:f>
      </x:c>
      <x:c r="C293" t="str">
        <x:f>IF(VLOOKUP($A293,Assets!$A:$C,3,FALSE)=0,"",VLOOKUP($A293,Assets!$A:$C,3,FALSE))</x:f>
      </x:c>
      <x:c r="D293" s="16">
        <x:v>3</x:v>
      </x:c>
      <x:c r="E293" s="20" t="str">
        <x:f>_xlfn.IFNA(VLOOKUP(_xlfn.CONCAT("T",E$1,"V",$D293,"A",$A293),Vulnerabilities!$G:$G,1,FALSE),"")</x:f>
      </x:c>
      <x:c r="F293" s="20" t="str">
        <x:f>_xlfn.IFNA(VLOOKUP(_xlfn.CONCAT("T",F$1,"V",$D293,"A",$A293),Vulnerabilities!$G:$G,1,FALSE),"")</x:f>
      </x:c>
      <x:c r="G293" s="20" t="str">
        <x:f>_xlfn.IFNA(VLOOKUP(_xlfn.CONCAT("T",G$1,"V",$D293,"A",$A293),Vulnerabilities!$G:$G,1,FALSE),"")</x:f>
      </x:c>
      <x:c r="H293" s="20" t="str">
        <x:f>_xlfn.IFNA(VLOOKUP(_xlfn.CONCAT("T",H$1,"V",$D293,"A",$A293),Vulnerabilities!$G:$G,1,FALSE),"")</x:f>
      </x:c>
      <x:c r="I293" s="20" t="str">
        <x:f>_xlfn.IFNA(VLOOKUP(_xlfn.CONCAT("T",I$1,"V",$D293,"A",$A293),Vulnerabilities!$G:$G,1,FALSE),"")</x:f>
      </x:c>
      <x:c r="J293" s="20" t="str">
        <x:f>_xlfn.IFNA(VLOOKUP(_xlfn.CONCAT("T",J$1,"V",$D293,"A",$A293),Vulnerabilities!$G:$G,1,FALSE),"")</x:f>
      </x:c>
      <x:c r="K293" s="20" t="str">
        <x:f>_xlfn.IFNA(VLOOKUP(_xlfn.CONCAT("T",K$1,"V",$D293,"A",$A293),Vulnerabilities!$G:$G,1,FALSE),"")</x:f>
      </x:c>
      <x:c r="L293" s="20" t="str">
        <x:f>_xlfn.IFNA(VLOOKUP(_xlfn.CONCAT("T",L$1,"V",$D293,"A",$A293),Vulnerabilities!$G:$G,1,FALSE),"")</x:f>
      </x:c>
      <x:c r="M293" s="20" t="str">
        <x:f>_xlfn.IFNA(VLOOKUP(_xlfn.CONCAT("T",M$1,"V",$D293,"A",$A293),Vulnerabilities!$G:$G,1,FALSE),"")</x:f>
      </x:c>
      <x:c r="N293" s="20" t="str">
        <x:f>_xlfn.IFNA(VLOOKUP(_xlfn.CONCAT("T",N$1,"V",$D293,"A",$A293),Vulnerabilities!$G:$G,1,FALSE),"")</x:f>
      </x:c>
      <x:c r="O293" s="20" t="str">
        <x:f>_xlfn.IFNA(VLOOKUP(_xlfn.CONCAT("T",O$1,"V",$D293,"A",$A293),Vulnerabilities!$G:$G,1,FALSE),"")</x:f>
      </x:c>
      <x:c r="P293" s="16" t="str">
        <x:f>_xlfn.IFNA(VLOOKUP(_xlfn.CONCAT("T",P$1,"V",$D293,"A",$A293),Vulnerabilities!$G:$G,1,FALSE),"")</x:f>
      </x:c>
    </x:row>
    <x:row r="294">
      <x:c r="A294" s="11">
        <x:f t="shared" si="5"/>
        <x:v>73</x:v>
      </x:c>
      <x:c r="B294" s="12" t="str">
        <x:f>IF(VLOOKUP($A294,Assets!$A:$C,2,FALSE)=0,"",VLOOKUP($A294,Assets!$A:$C,2,FALSE))</x:f>
      </x:c>
      <x:c r="C294" s="12" t="str">
        <x:f>IF(VLOOKUP($A294,Assets!$A:$C,3,FALSE)=0,"",VLOOKUP($A294,Assets!$A:$C,3,FALSE))</x:f>
      </x:c>
      <x:c r="D294" s="17">
        <x:v>4</x:v>
      </x:c>
      <x:c r="E294" s="21" t="str">
        <x:f>_xlfn.IFNA(VLOOKUP(_xlfn.CONCAT("T",E$1,"V",$D294,"A",$A294),Vulnerabilities!$G:$G,1,FALSE),"")</x:f>
      </x:c>
      <x:c r="F294" s="21" t="str">
        <x:f>_xlfn.IFNA(VLOOKUP(_xlfn.CONCAT("T",F$1,"V",$D294,"A",$A294),Vulnerabilities!$G:$G,1,FALSE),"")</x:f>
      </x:c>
      <x:c r="G294" s="21" t="str">
        <x:f>_xlfn.IFNA(VLOOKUP(_xlfn.CONCAT("T",G$1,"V",$D294,"A",$A294),Vulnerabilities!$G:$G,1,FALSE),"")</x:f>
      </x:c>
      <x:c r="H294" s="21" t="str">
        <x:f>_xlfn.IFNA(VLOOKUP(_xlfn.CONCAT("T",H$1,"V",$D294,"A",$A294),Vulnerabilities!$G:$G,1,FALSE),"")</x:f>
      </x:c>
      <x:c r="I294" s="21" t="str">
        <x:f>_xlfn.IFNA(VLOOKUP(_xlfn.CONCAT("T",I$1,"V",$D294,"A",$A294),Vulnerabilities!$G:$G,1,FALSE),"")</x:f>
      </x:c>
      <x:c r="J294" s="21" t="str">
        <x:f>_xlfn.IFNA(VLOOKUP(_xlfn.CONCAT("T",J$1,"V",$D294,"A",$A294),Vulnerabilities!$G:$G,1,FALSE),"")</x:f>
      </x:c>
      <x:c r="K294" s="21" t="str">
        <x:f>_xlfn.IFNA(VLOOKUP(_xlfn.CONCAT("T",K$1,"V",$D294,"A",$A294),Vulnerabilities!$G:$G,1,FALSE),"")</x:f>
      </x:c>
      <x:c r="L294" s="21" t="str">
        <x:f>_xlfn.IFNA(VLOOKUP(_xlfn.CONCAT("T",L$1,"V",$D294,"A",$A294),Vulnerabilities!$G:$G,1,FALSE),"")</x:f>
      </x:c>
      <x:c r="M294" s="21" t="str">
        <x:f>_xlfn.IFNA(VLOOKUP(_xlfn.CONCAT("T",M$1,"V",$D294,"A",$A294),Vulnerabilities!$G:$G,1,FALSE),"")</x:f>
      </x:c>
      <x:c r="N294" s="21" t="str">
        <x:f>_xlfn.IFNA(VLOOKUP(_xlfn.CONCAT("T",N$1,"V",$D294,"A",$A294),Vulnerabilities!$G:$G,1,FALSE),"")</x:f>
      </x:c>
      <x:c r="O294" s="21" t="str">
        <x:f>_xlfn.IFNA(VLOOKUP(_xlfn.CONCAT("T",O$1,"V",$D294,"A",$A294),Vulnerabilities!$G:$G,1,FALSE),"")</x:f>
      </x:c>
      <x:c r="P294" s="17" t="str">
        <x:f>_xlfn.IFNA(VLOOKUP(_xlfn.CONCAT("T",P$1,"V",$D294,"A",$A294),Vulnerabilities!$G:$G,1,FALSE),"")</x:f>
      </x:c>
    </x:row>
    <x:row r="295">
      <x:c r="A295" s="1">
        <x:f t="shared" si="5"/>
        <x:v>74</x:v>
      </x:c>
      <x:c r="B295" t="str">
        <x:f>IF(VLOOKUP($A295,Assets!$A:$C,2,FALSE)=0,"",VLOOKUP($A295,Assets!$A:$C,2,FALSE))</x:f>
      </x:c>
      <x:c r="C295" t="str">
        <x:f>IF(VLOOKUP($A295,Assets!$A:$C,3,FALSE)=0,"",VLOOKUP($A295,Assets!$A:$C,3,FALSE))</x:f>
      </x:c>
      <x:c r="D295" s="16">
        <x:v>1</x:v>
      </x:c>
      <x:c r="E295" s="20" t="str">
        <x:f>_xlfn.IFNA(VLOOKUP(_xlfn.CONCAT("T",E$1,"V",$D295,"A",$A295),Vulnerabilities!$G:$G,1,FALSE),"")</x:f>
      </x:c>
      <x:c r="F295" s="20" t="str">
        <x:f>_xlfn.IFNA(VLOOKUP(_xlfn.CONCAT("T",F$1,"V",$D295,"A",$A295),Vulnerabilities!$G:$G,1,FALSE),"")</x:f>
      </x:c>
      <x:c r="G295" s="20" t="str">
        <x:f>_xlfn.IFNA(VLOOKUP(_xlfn.CONCAT("T",G$1,"V",$D295,"A",$A295),Vulnerabilities!$G:$G,1,FALSE),"")</x:f>
      </x:c>
      <x:c r="H295" s="20" t="str">
        <x:f>_xlfn.IFNA(VLOOKUP(_xlfn.CONCAT("T",H$1,"V",$D295,"A",$A295),Vulnerabilities!$G:$G,1,FALSE),"")</x:f>
      </x:c>
      <x:c r="I295" s="20" t="str">
        <x:f>_xlfn.IFNA(VLOOKUP(_xlfn.CONCAT("T",I$1,"V",$D295,"A",$A295),Vulnerabilities!$G:$G,1,FALSE),"")</x:f>
      </x:c>
      <x:c r="J295" s="20" t="str">
        <x:f>_xlfn.IFNA(VLOOKUP(_xlfn.CONCAT("T",J$1,"V",$D295,"A",$A295),Vulnerabilities!$G:$G,1,FALSE),"")</x:f>
      </x:c>
      <x:c r="K295" s="20" t="str">
        <x:f>_xlfn.IFNA(VLOOKUP(_xlfn.CONCAT("T",K$1,"V",$D295,"A",$A295),Vulnerabilities!$G:$G,1,FALSE),"")</x:f>
      </x:c>
      <x:c r="L295" s="20" t="str">
        <x:f>_xlfn.IFNA(VLOOKUP(_xlfn.CONCAT("T",L$1,"V",$D295,"A",$A295),Vulnerabilities!$G:$G,1,FALSE),"")</x:f>
      </x:c>
      <x:c r="M295" s="20" t="str">
        <x:f>_xlfn.IFNA(VLOOKUP(_xlfn.CONCAT("T",M$1,"V",$D295,"A",$A295),Vulnerabilities!$G:$G,1,FALSE),"")</x:f>
      </x:c>
      <x:c r="N295" s="20" t="str">
        <x:f>_xlfn.IFNA(VLOOKUP(_xlfn.CONCAT("T",N$1,"V",$D295,"A",$A295),Vulnerabilities!$G:$G,1,FALSE),"")</x:f>
      </x:c>
      <x:c r="O295" s="20" t="str">
        <x:f>_xlfn.IFNA(VLOOKUP(_xlfn.CONCAT("T",O$1,"V",$D295,"A",$A295),Vulnerabilities!$G:$G,1,FALSE),"")</x:f>
      </x:c>
      <x:c r="P295" s="16" t="str">
        <x:f>_xlfn.IFNA(VLOOKUP(_xlfn.CONCAT("T",P$1,"V",$D295,"A",$A295),Vulnerabilities!$G:$G,1,FALSE),"")</x:f>
      </x:c>
    </x:row>
    <x:row r="296">
      <x:c r="A296" s="1">
        <x:f t="shared" si="5"/>
        <x:v>74</x:v>
      </x:c>
      <x:c r="B296" t="str">
        <x:f>IF(VLOOKUP($A296,Assets!$A:$C,2,FALSE)=0,"",VLOOKUP($A296,Assets!$A:$C,2,FALSE))</x:f>
      </x:c>
      <x:c r="C296" t="str">
        <x:f>IF(VLOOKUP($A296,Assets!$A:$C,3,FALSE)=0,"",VLOOKUP($A296,Assets!$A:$C,3,FALSE))</x:f>
      </x:c>
      <x:c r="D296" s="16">
        <x:v>2</x:v>
      </x:c>
      <x:c r="E296" s="20" t="str">
        <x:f>_xlfn.IFNA(VLOOKUP(_xlfn.CONCAT("T",E$1,"V",$D296,"A",$A296),Vulnerabilities!$G:$G,1,FALSE),"")</x:f>
      </x:c>
      <x:c r="F296" s="20" t="str">
        <x:f>_xlfn.IFNA(VLOOKUP(_xlfn.CONCAT("T",F$1,"V",$D296,"A",$A296),Vulnerabilities!$G:$G,1,FALSE),"")</x:f>
      </x:c>
      <x:c r="G296" s="20" t="str">
        <x:f>_xlfn.IFNA(VLOOKUP(_xlfn.CONCAT("T",G$1,"V",$D296,"A",$A296),Vulnerabilities!$G:$G,1,FALSE),"")</x:f>
      </x:c>
      <x:c r="H296" s="20" t="str">
        <x:f>_xlfn.IFNA(VLOOKUP(_xlfn.CONCAT("T",H$1,"V",$D296,"A",$A296),Vulnerabilities!$G:$G,1,FALSE),"")</x:f>
      </x:c>
      <x:c r="I296" s="20" t="str">
        <x:f>_xlfn.IFNA(VLOOKUP(_xlfn.CONCAT("T",I$1,"V",$D296,"A",$A296),Vulnerabilities!$G:$G,1,FALSE),"")</x:f>
      </x:c>
      <x:c r="J296" s="20" t="str">
        <x:f>_xlfn.IFNA(VLOOKUP(_xlfn.CONCAT("T",J$1,"V",$D296,"A",$A296),Vulnerabilities!$G:$G,1,FALSE),"")</x:f>
      </x:c>
      <x:c r="K296" s="20" t="str">
        <x:f>_xlfn.IFNA(VLOOKUP(_xlfn.CONCAT("T",K$1,"V",$D296,"A",$A296),Vulnerabilities!$G:$G,1,FALSE),"")</x:f>
      </x:c>
      <x:c r="L296" s="20" t="str">
        <x:f>_xlfn.IFNA(VLOOKUP(_xlfn.CONCAT("T",L$1,"V",$D296,"A",$A296),Vulnerabilities!$G:$G,1,FALSE),"")</x:f>
      </x:c>
      <x:c r="M296" s="20" t="str">
        <x:f>_xlfn.IFNA(VLOOKUP(_xlfn.CONCAT("T",M$1,"V",$D296,"A",$A296),Vulnerabilities!$G:$G,1,FALSE),"")</x:f>
      </x:c>
      <x:c r="N296" s="20" t="str">
        <x:f>_xlfn.IFNA(VLOOKUP(_xlfn.CONCAT("T",N$1,"V",$D296,"A",$A296),Vulnerabilities!$G:$G,1,FALSE),"")</x:f>
      </x:c>
      <x:c r="O296" s="20" t="str">
        <x:f>_xlfn.IFNA(VLOOKUP(_xlfn.CONCAT("T",O$1,"V",$D296,"A",$A296),Vulnerabilities!$G:$G,1,FALSE),"")</x:f>
      </x:c>
      <x:c r="P296" s="16" t="str">
        <x:f>_xlfn.IFNA(VLOOKUP(_xlfn.CONCAT("T",P$1,"V",$D296,"A",$A296),Vulnerabilities!$G:$G,1,FALSE),"")</x:f>
      </x:c>
    </x:row>
    <x:row r="297">
      <x:c r="A297" s="1">
        <x:f t="shared" si="5"/>
        <x:v>74</x:v>
      </x:c>
      <x:c r="B297" t="str">
        <x:f>IF(VLOOKUP($A297,Assets!$A:$C,2,FALSE)=0,"",VLOOKUP($A297,Assets!$A:$C,2,FALSE))</x:f>
      </x:c>
      <x:c r="C297" t="str">
        <x:f>IF(VLOOKUP($A297,Assets!$A:$C,3,FALSE)=0,"",VLOOKUP($A297,Assets!$A:$C,3,FALSE))</x:f>
      </x:c>
      <x:c r="D297" s="16">
        <x:v>3</x:v>
      </x:c>
      <x:c r="E297" s="20" t="str">
        <x:f>_xlfn.IFNA(VLOOKUP(_xlfn.CONCAT("T",E$1,"V",$D297,"A",$A297),Vulnerabilities!$G:$G,1,FALSE),"")</x:f>
      </x:c>
      <x:c r="F297" s="20" t="str">
        <x:f>_xlfn.IFNA(VLOOKUP(_xlfn.CONCAT("T",F$1,"V",$D297,"A",$A297),Vulnerabilities!$G:$G,1,FALSE),"")</x:f>
      </x:c>
      <x:c r="G297" s="20" t="str">
        <x:f>_xlfn.IFNA(VLOOKUP(_xlfn.CONCAT("T",G$1,"V",$D297,"A",$A297),Vulnerabilities!$G:$G,1,FALSE),"")</x:f>
      </x:c>
      <x:c r="H297" s="20" t="str">
        <x:f>_xlfn.IFNA(VLOOKUP(_xlfn.CONCAT("T",H$1,"V",$D297,"A",$A297),Vulnerabilities!$G:$G,1,FALSE),"")</x:f>
      </x:c>
      <x:c r="I297" s="20" t="str">
        <x:f>_xlfn.IFNA(VLOOKUP(_xlfn.CONCAT("T",I$1,"V",$D297,"A",$A297),Vulnerabilities!$G:$G,1,FALSE),"")</x:f>
      </x:c>
      <x:c r="J297" s="20" t="str">
        <x:f>_xlfn.IFNA(VLOOKUP(_xlfn.CONCAT("T",J$1,"V",$D297,"A",$A297),Vulnerabilities!$G:$G,1,FALSE),"")</x:f>
      </x:c>
      <x:c r="K297" s="20" t="str">
        <x:f>_xlfn.IFNA(VLOOKUP(_xlfn.CONCAT("T",K$1,"V",$D297,"A",$A297),Vulnerabilities!$G:$G,1,FALSE),"")</x:f>
      </x:c>
      <x:c r="L297" s="20" t="str">
        <x:f>_xlfn.IFNA(VLOOKUP(_xlfn.CONCAT("T",L$1,"V",$D297,"A",$A297),Vulnerabilities!$G:$G,1,FALSE),"")</x:f>
      </x:c>
      <x:c r="M297" s="20" t="str">
        <x:f>_xlfn.IFNA(VLOOKUP(_xlfn.CONCAT("T",M$1,"V",$D297,"A",$A297),Vulnerabilities!$G:$G,1,FALSE),"")</x:f>
      </x:c>
      <x:c r="N297" s="20" t="str">
        <x:f>_xlfn.IFNA(VLOOKUP(_xlfn.CONCAT("T",N$1,"V",$D297,"A",$A297),Vulnerabilities!$G:$G,1,FALSE),"")</x:f>
      </x:c>
      <x:c r="O297" s="20" t="str">
        <x:f>_xlfn.IFNA(VLOOKUP(_xlfn.CONCAT("T",O$1,"V",$D297,"A",$A297),Vulnerabilities!$G:$G,1,FALSE),"")</x:f>
      </x:c>
      <x:c r="P297" s="16" t="str">
        <x:f>_xlfn.IFNA(VLOOKUP(_xlfn.CONCAT("T",P$1,"V",$D297,"A",$A297),Vulnerabilities!$G:$G,1,FALSE),"")</x:f>
      </x:c>
    </x:row>
    <x:row r="298">
      <x:c r="A298" s="11">
        <x:f t="shared" si="5"/>
        <x:v>74</x:v>
      </x:c>
      <x:c r="B298" s="12" t="str">
        <x:f>IF(VLOOKUP($A298,Assets!$A:$C,2,FALSE)=0,"",VLOOKUP($A298,Assets!$A:$C,2,FALSE))</x:f>
      </x:c>
      <x:c r="C298" s="12" t="str">
        <x:f>IF(VLOOKUP($A298,Assets!$A:$C,3,FALSE)=0,"",VLOOKUP($A298,Assets!$A:$C,3,FALSE))</x:f>
      </x:c>
      <x:c r="D298" s="17">
        <x:v>4</x:v>
      </x:c>
      <x:c r="E298" s="21" t="str">
        <x:f>_xlfn.IFNA(VLOOKUP(_xlfn.CONCAT("T",E$1,"V",$D298,"A",$A298),Vulnerabilities!$G:$G,1,FALSE),"")</x:f>
      </x:c>
      <x:c r="F298" s="21" t="str">
        <x:f>_xlfn.IFNA(VLOOKUP(_xlfn.CONCAT("T",F$1,"V",$D298,"A",$A298),Vulnerabilities!$G:$G,1,FALSE),"")</x:f>
      </x:c>
      <x:c r="G298" s="21" t="str">
        <x:f>_xlfn.IFNA(VLOOKUP(_xlfn.CONCAT("T",G$1,"V",$D298,"A",$A298),Vulnerabilities!$G:$G,1,FALSE),"")</x:f>
      </x:c>
      <x:c r="H298" s="21" t="str">
        <x:f>_xlfn.IFNA(VLOOKUP(_xlfn.CONCAT("T",H$1,"V",$D298,"A",$A298),Vulnerabilities!$G:$G,1,FALSE),"")</x:f>
      </x:c>
      <x:c r="I298" s="21" t="str">
        <x:f>_xlfn.IFNA(VLOOKUP(_xlfn.CONCAT("T",I$1,"V",$D298,"A",$A298),Vulnerabilities!$G:$G,1,FALSE),"")</x:f>
      </x:c>
      <x:c r="J298" s="21" t="str">
        <x:f>_xlfn.IFNA(VLOOKUP(_xlfn.CONCAT("T",J$1,"V",$D298,"A",$A298),Vulnerabilities!$G:$G,1,FALSE),"")</x:f>
      </x:c>
      <x:c r="K298" s="21" t="str">
        <x:f>_xlfn.IFNA(VLOOKUP(_xlfn.CONCAT("T",K$1,"V",$D298,"A",$A298),Vulnerabilities!$G:$G,1,FALSE),"")</x:f>
      </x:c>
      <x:c r="L298" s="21" t="str">
        <x:f>_xlfn.IFNA(VLOOKUP(_xlfn.CONCAT("T",L$1,"V",$D298,"A",$A298),Vulnerabilities!$G:$G,1,FALSE),"")</x:f>
      </x:c>
      <x:c r="M298" s="21" t="str">
        <x:f>_xlfn.IFNA(VLOOKUP(_xlfn.CONCAT("T",M$1,"V",$D298,"A",$A298),Vulnerabilities!$G:$G,1,FALSE),"")</x:f>
      </x:c>
      <x:c r="N298" s="21" t="str">
        <x:f>_xlfn.IFNA(VLOOKUP(_xlfn.CONCAT("T",N$1,"V",$D298,"A",$A298),Vulnerabilities!$G:$G,1,FALSE),"")</x:f>
      </x:c>
      <x:c r="O298" s="21" t="str">
        <x:f>_xlfn.IFNA(VLOOKUP(_xlfn.CONCAT("T",O$1,"V",$D298,"A",$A298),Vulnerabilities!$G:$G,1,FALSE),"")</x:f>
      </x:c>
      <x:c r="P298" s="17" t="str">
        <x:f>_xlfn.IFNA(VLOOKUP(_xlfn.CONCAT("T",P$1,"V",$D298,"A",$A298),Vulnerabilities!$G:$G,1,FALSE),"")</x:f>
      </x:c>
    </x:row>
    <x:row r="299">
      <x:c r="A299" s="1">
        <x:f t="shared" si="5"/>
        <x:v>75</x:v>
      </x:c>
      <x:c r="B299" t="str">
        <x:f>IF(VLOOKUP($A299,Assets!$A:$C,2,FALSE)=0,"",VLOOKUP($A299,Assets!$A:$C,2,FALSE))</x:f>
      </x:c>
      <x:c r="C299" t="str">
        <x:f>IF(VLOOKUP($A299,Assets!$A:$C,3,FALSE)=0,"",VLOOKUP($A299,Assets!$A:$C,3,FALSE))</x:f>
      </x:c>
      <x:c r="D299" s="16">
        <x:v>1</x:v>
      </x:c>
      <x:c r="E299" s="20" t="str">
        <x:f>_xlfn.IFNA(VLOOKUP(_xlfn.CONCAT("T",E$1,"V",$D299,"A",$A299),Vulnerabilities!$G:$G,1,FALSE),"")</x:f>
      </x:c>
      <x:c r="F299" s="20" t="str">
        <x:f>_xlfn.IFNA(VLOOKUP(_xlfn.CONCAT("T",F$1,"V",$D299,"A",$A299),Vulnerabilities!$G:$G,1,FALSE),"")</x:f>
      </x:c>
      <x:c r="G299" s="20" t="str">
        <x:f>_xlfn.IFNA(VLOOKUP(_xlfn.CONCAT("T",G$1,"V",$D299,"A",$A299),Vulnerabilities!$G:$G,1,FALSE),"")</x:f>
      </x:c>
      <x:c r="H299" s="20" t="str">
        <x:f>_xlfn.IFNA(VLOOKUP(_xlfn.CONCAT("T",H$1,"V",$D299,"A",$A299),Vulnerabilities!$G:$G,1,FALSE),"")</x:f>
      </x:c>
      <x:c r="I299" s="20" t="str">
        <x:f>_xlfn.IFNA(VLOOKUP(_xlfn.CONCAT("T",I$1,"V",$D299,"A",$A299),Vulnerabilities!$G:$G,1,FALSE),"")</x:f>
      </x:c>
      <x:c r="J299" s="20" t="str">
        <x:f>_xlfn.IFNA(VLOOKUP(_xlfn.CONCAT("T",J$1,"V",$D299,"A",$A299),Vulnerabilities!$G:$G,1,FALSE),"")</x:f>
      </x:c>
      <x:c r="K299" s="20" t="str">
        <x:f>_xlfn.IFNA(VLOOKUP(_xlfn.CONCAT("T",K$1,"V",$D299,"A",$A299),Vulnerabilities!$G:$G,1,FALSE),"")</x:f>
      </x:c>
      <x:c r="L299" s="20" t="str">
        <x:f>_xlfn.IFNA(VLOOKUP(_xlfn.CONCAT("T",L$1,"V",$D299,"A",$A299),Vulnerabilities!$G:$G,1,FALSE),"")</x:f>
      </x:c>
      <x:c r="M299" s="20" t="str">
        <x:f>_xlfn.IFNA(VLOOKUP(_xlfn.CONCAT("T",M$1,"V",$D299,"A",$A299),Vulnerabilities!$G:$G,1,FALSE),"")</x:f>
      </x:c>
      <x:c r="N299" s="20" t="str">
        <x:f>_xlfn.IFNA(VLOOKUP(_xlfn.CONCAT("T",N$1,"V",$D299,"A",$A299),Vulnerabilities!$G:$G,1,FALSE),"")</x:f>
      </x:c>
      <x:c r="O299" s="20" t="str">
        <x:f>_xlfn.IFNA(VLOOKUP(_xlfn.CONCAT("T",O$1,"V",$D299,"A",$A299),Vulnerabilities!$G:$G,1,FALSE),"")</x:f>
      </x:c>
      <x:c r="P299" s="16" t="str">
        <x:f>_xlfn.IFNA(VLOOKUP(_xlfn.CONCAT("T",P$1,"V",$D299,"A",$A299),Vulnerabilities!$G:$G,1,FALSE),"")</x:f>
      </x:c>
    </x:row>
    <x:row r="300">
      <x:c r="A300" s="1">
        <x:f t="shared" si="5"/>
        <x:v>75</x:v>
      </x:c>
      <x:c r="B300" t="str">
        <x:f>IF(VLOOKUP($A300,Assets!$A:$C,2,FALSE)=0,"",VLOOKUP($A300,Assets!$A:$C,2,FALSE))</x:f>
      </x:c>
      <x:c r="C300" t="str">
        <x:f>IF(VLOOKUP($A300,Assets!$A:$C,3,FALSE)=0,"",VLOOKUP($A300,Assets!$A:$C,3,FALSE))</x:f>
      </x:c>
      <x:c r="D300" s="16">
        <x:v>2</x:v>
      </x:c>
      <x:c r="E300" s="20" t="str">
        <x:f>_xlfn.IFNA(VLOOKUP(_xlfn.CONCAT("T",E$1,"V",$D300,"A",$A300),Vulnerabilities!$G:$G,1,FALSE),"")</x:f>
      </x:c>
      <x:c r="F300" s="20" t="str">
        <x:f>_xlfn.IFNA(VLOOKUP(_xlfn.CONCAT("T",F$1,"V",$D300,"A",$A300),Vulnerabilities!$G:$G,1,FALSE),"")</x:f>
      </x:c>
      <x:c r="G300" s="20" t="str">
        <x:f>_xlfn.IFNA(VLOOKUP(_xlfn.CONCAT("T",G$1,"V",$D300,"A",$A300),Vulnerabilities!$G:$G,1,FALSE),"")</x:f>
      </x:c>
      <x:c r="H300" s="20" t="str">
        <x:f>_xlfn.IFNA(VLOOKUP(_xlfn.CONCAT("T",H$1,"V",$D300,"A",$A300),Vulnerabilities!$G:$G,1,FALSE),"")</x:f>
      </x:c>
      <x:c r="I300" s="20" t="str">
        <x:f>_xlfn.IFNA(VLOOKUP(_xlfn.CONCAT("T",I$1,"V",$D300,"A",$A300),Vulnerabilities!$G:$G,1,FALSE),"")</x:f>
      </x:c>
      <x:c r="J300" s="20" t="str">
        <x:f>_xlfn.IFNA(VLOOKUP(_xlfn.CONCAT("T",J$1,"V",$D300,"A",$A300),Vulnerabilities!$G:$G,1,FALSE),"")</x:f>
      </x:c>
      <x:c r="K300" s="20" t="str">
        <x:f>_xlfn.IFNA(VLOOKUP(_xlfn.CONCAT("T",K$1,"V",$D300,"A",$A300),Vulnerabilities!$G:$G,1,FALSE),"")</x:f>
      </x:c>
      <x:c r="L300" s="20" t="str">
        <x:f>_xlfn.IFNA(VLOOKUP(_xlfn.CONCAT("T",L$1,"V",$D300,"A",$A300),Vulnerabilities!$G:$G,1,FALSE),"")</x:f>
      </x:c>
      <x:c r="M300" s="20" t="str">
        <x:f>_xlfn.IFNA(VLOOKUP(_xlfn.CONCAT("T",M$1,"V",$D300,"A",$A300),Vulnerabilities!$G:$G,1,FALSE),"")</x:f>
      </x:c>
      <x:c r="N300" s="20" t="str">
        <x:f>_xlfn.IFNA(VLOOKUP(_xlfn.CONCAT("T",N$1,"V",$D300,"A",$A300),Vulnerabilities!$G:$G,1,FALSE),"")</x:f>
      </x:c>
      <x:c r="O300" s="20" t="str">
        <x:f>_xlfn.IFNA(VLOOKUP(_xlfn.CONCAT("T",O$1,"V",$D300,"A",$A300),Vulnerabilities!$G:$G,1,FALSE),"")</x:f>
      </x:c>
      <x:c r="P300" s="16" t="str">
        <x:f>_xlfn.IFNA(VLOOKUP(_xlfn.CONCAT("T",P$1,"V",$D300,"A",$A300),Vulnerabilities!$G:$G,1,FALSE),"")</x:f>
      </x:c>
    </x:row>
    <x:row r="301">
      <x:c r="A301" s="1">
        <x:f t="shared" si="5"/>
        <x:v>75</x:v>
      </x:c>
      <x:c r="B301" t="str">
        <x:f>IF(VLOOKUP($A301,Assets!$A:$C,2,FALSE)=0,"",VLOOKUP($A301,Assets!$A:$C,2,FALSE))</x:f>
      </x:c>
      <x:c r="C301" t="str">
        <x:f>IF(VLOOKUP($A301,Assets!$A:$C,3,FALSE)=0,"",VLOOKUP($A301,Assets!$A:$C,3,FALSE))</x:f>
      </x:c>
      <x:c r="D301" s="16">
        <x:v>3</x:v>
      </x:c>
      <x:c r="E301" s="20" t="str">
        <x:f>_xlfn.IFNA(VLOOKUP(_xlfn.CONCAT("T",E$1,"V",$D301,"A",$A301),Vulnerabilities!$G:$G,1,FALSE),"")</x:f>
      </x:c>
      <x:c r="F301" s="20" t="str">
        <x:f>_xlfn.IFNA(VLOOKUP(_xlfn.CONCAT("T",F$1,"V",$D301,"A",$A301),Vulnerabilities!$G:$G,1,FALSE),"")</x:f>
      </x:c>
      <x:c r="G301" s="20" t="str">
        <x:f>_xlfn.IFNA(VLOOKUP(_xlfn.CONCAT("T",G$1,"V",$D301,"A",$A301),Vulnerabilities!$G:$G,1,FALSE),"")</x:f>
      </x:c>
      <x:c r="H301" s="20" t="str">
        <x:f>_xlfn.IFNA(VLOOKUP(_xlfn.CONCAT("T",H$1,"V",$D301,"A",$A301),Vulnerabilities!$G:$G,1,FALSE),"")</x:f>
      </x:c>
      <x:c r="I301" s="20" t="str">
        <x:f>_xlfn.IFNA(VLOOKUP(_xlfn.CONCAT("T",I$1,"V",$D301,"A",$A301),Vulnerabilities!$G:$G,1,FALSE),"")</x:f>
      </x:c>
      <x:c r="J301" s="20" t="str">
        <x:f>_xlfn.IFNA(VLOOKUP(_xlfn.CONCAT("T",J$1,"V",$D301,"A",$A301),Vulnerabilities!$G:$G,1,FALSE),"")</x:f>
      </x:c>
      <x:c r="K301" s="20" t="str">
        <x:f>_xlfn.IFNA(VLOOKUP(_xlfn.CONCAT("T",K$1,"V",$D301,"A",$A301),Vulnerabilities!$G:$G,1,FALSE),"")</x:f>
      </x:c>
      <x:c r="L301" s="20" t="str">
        <x:f>_xlfn.IFNA(VLOOKUP(_xlfn.CONCAT("T",L$1,"V",$D301,"A",$A301),Vulnerabilities!$G:$G,1,FALSE),"")</x:f>
      </x:c>
      <x:c r="M301" s="20" t="str">
        <x:f>_xlfn.IFNA(VLOOKUP(_xlfn.CONCAT("T",M$1,"V",$D301,"A",$A301),Vulnerabilities!$G:$G,1,FALSE),"")</x:f>
      </x:c>
      <x:c r="N301" s="20" t="str">
        <x:f>_xlfn.IFNA(VLOOKUP(_xlfn.CONCAT("T",N$1,"V",$D301,"A",$A301),Vulnerabilities!$G:$G,1,FALSE),"")</x:f>
      </x:c>
      <x:c r="O301" s="20" t="str">
        <x:f>_xlfn.IFNA(VLOOKUP(_xlfn.CONCAT("T",O$1,"V",$D301,"A",$A301),Vulnerabilities!$G:$G,1,FALSE),"")</x:f>
      </x:c>
      <x:c r="P301" s="16" t="str">
        <x:f>_xlfn.IFNA(VLOOKUP(_xlfn.CONCAT("T",P$1,"V",$D301,"A",$A301),Vulnerabilities!$G:$G,1,FALSE),"")</x:f>
      </x:c>
    </x:row>
    <x:row r="302">
      <x:c r="A302" s="11">
        <x:f t="shared" si="5"/>
        <x:v>75</x:v>
      </x:c>
      <x:c r="B302" s="12" t="str">
        <x:f>IF(VLOOKUP($A302,Assets!$A:$C,2,FALSE)=0,"",VLOOKUP($A302,Assets!$A:$C,2,FALSE))</x:f>
      </x:c>
      <x:c r="C302" s="12" t="str">
        <x:f>IF(VLOOKUP($A302,Assets!$A:$C,3,FALSE)=0,"",VLOOKUP($A302,Assets!$A:$C,3,FALSE))</x:f>
      </x:c>
      <x:c r="D302" s="17">
        <x:v>4</x:v>
      </x:c>
      <x:c r="E302" s="21" t="str">
        <x:f>_xlfn.IFNA(VLOOKUP(_xlfn.CONCAT("T",E$1,"V",$D302,"A",$A302),Vulnerabilities!$G:$G,1,FALSE),"")</x:f>
      </x:c>
      <x:c r="F302" s="21" t="str">
        <x:f>_xlfn.IFNA(VLOOKUP(_xlfn.CONCAT("T",F$1,"V",$D302,"A",$A302),Vulnerabilities!$G:$G,1,FALSE),"")</x:f>
      </x:c>
      <x:c r="G302" s="21" t="str">
        <x:f>_xlfn.IFNA(VLOOKUP(_xlfn.CONCAT("T",G$1,"V",$D302,"A",$A302),Vulnerabilities!$G:$G,1,FALSE),"")</x:f>
      </x:c>
      <x:c r="H302" s="21" t="str">
        <x:f>_xlfn.IFNA(VLOOKUP(_xlfn.CONCAT("T",H$1,"V",$D302,"A",$A302),Vulnerabilities!$G:$G,1,FALSE),"")</x:f>
      </x:c>
      <x:c r="I302" s="21" t="str">
        <x:f>_xlfn.IFNA(VLOOKUP(_xlfn.CONCAT("T",I$1,"V",$D302,"A",$A302),Vulnerabilities!$G:$G,1,FALSE),"")</x:f>
      </x:c>
      <x:c r="J302" s="21" t="str">
        <x:f>_xlfn.IFNA(VLOOKUP(_xlfn.CONCAT("T",J$1,"V",$D302,"A",$A302),Vulnerabilities!$G:$G,1,FALSE),"")</x:f>
      </x:c>
      <x:c r="K302" s="21" t="str">
        <x:f>_xlfn.IFNA(VLOOKUP(_xlfn.CONCAT("T",K$1,"V",$D302,"A",$A302),Vulnerabilities!$G:$G,1,FALSE),"")</x:f>
      </x:c>
      <x:c r="L302" s="21" t="str">
        <x:f>_xlfn.IFNA(VLOOKUP(_xlfn.CONCAT("T",L$1,"V",$D302,"A",$A302),Vulnerabilities!$G:$G,1,FALSE),"")</x:f>
      </x:c>
      <x:c r="M302" s="21" t="str">
        <x:f>_xlfn.IFNA(VLOOKUP(_xlfn.CONCAT("T",M$1,"V",$D302,"A",$A302),Vulnerabilities!$G:$G,1,FALSE),"")</x:f>
      </x:c>
      <x:c r="N302" s="21" t="str">
        <x:f>_xlfn.IFNA(VLOOKUP(_xlfn.CONCAT("T",N$1,"V",$D302,"A",$A302),Vulnerabilities!$G:$G,1,FALSE),"")</x:f>
      </x:c>
      <x:c r="O302" s="21" t="str">
        <x:f>_xlfn.IFNA(VLOOKUP(_xlfn.CONCAT("T",O$1,"V",$D302,"A",$A302),Vulnerabilities!$G:$G,1,FALSE),"")</x:f>
      </x:c>
      <x:c r="P302" s="17" t="str">
        <x:f>_xlfn.IFNA(VLOOKUP(_xlfn.CONCAT("T",P$1,"V",$D302,"A",$A302),Vulnerabilities!$G:$G,1,FALSE),"")</x:f>
      </x:c>
    </x:row>
    <x:row r="303">
      <x:c r="A303" s="1">
        <x:f t="shared" si="5"/>
        <x:v>76</x:v>
      </x:c>
      <x:c r="B303" t="str">
        <x:f>IF(VLOOKUP($A303,Assets!$A:$C,2,FALSE)=0,"",VLOOKUP($A303,Assets!$A:$C,2,FALSE))</x:f>
      </x:c>
      <x:c r="C303" t="str">
        <x:f>IF(VLOOKUP($A303,Assets!$A:$C,3,FALSE)=0,"",VLOOKUP($A303,Assets!$A:$C,3,FALSE))</x:f>
      </x:c>
      <x:c r="D303" s="16">
        <x:v>1</x:v>
      </x:c>
      <x:c r="E303" s="20" t="str">
        <x:f>_xlfn.IFNA(VLOOKUP(_xlfn.CONCAT("T",E$1,"V",$D303,"A",$A303),Vulnerabilities!$G:$G,1,FALSE),"")</x:f>
      </x:c>
      <x:c r="F303" s="20" t="str">
        <x:f>_xlfn.IFNA(VLOOKUP(_xlfn.CONCAT("T",F$1,"V",$D303,"A",$A303),Vulnerabilities!$G:$G,1,FALSE),"")</x:f>
      </x:c>
      <x:c r="G303" s="20" t="str">
        <x:f>_xlfn.IFNA(VLOOKUP(_xlfn.CONCAT("T",G$1,"V",$D303,"A",$A303),Vulnerabilities!$G:$G,1,FALSE),"")</x:f>
      </x:c>
      <x:c r="H303" s="20" t="str">
        <x:f>_xlfn.IFNA(VLOOKUP(_xlfn.CONCAT("T",H$1,"V",$D303,"A",$A303),Vulnerabilities!$G:$G,1,FALSE),"")</x:f>
      </x:c>
      <x:c r="I303" s="20" t="str">
        <x:f>_xlfn.IFNA(VLOOKUP(_xlfn.CONCAT("T",I$1,"V",$D303,"A",$A303),Vulnerabilities!$G:$G,1,FALSE),"")</x:f>
      </x:c>
      <x:c r="J303" s="20" t="str">
        <x:f>_xlfn.IFNA(VLOOKUP(_xlfn.CONCAT("T",J$1,"V",$D303,"A",$A303),Vulnerabilities!$G:$G,1,FALSE),"")</x:f>
      </x:c>
      <x:c r="K303" s="20" t="str">
        <x:f>_xlfn.IFNA(VLOOKUP(_xlfn.CONCAT("T",K$1,"V",$D303,"A",$A303),Vulnerabilities!$G:$G,1,FALSE),"")</x:f>
      </x:c>
      <x:c r="L303" s="20" t="str">
        <x:f>_xlfn.IFNA(VLOOKUP(_xlfn.CONCAT("T",L$1,"V",$D303,"A",$A303),Vulnerabilities!$G:$G,1,FALSE),"")</x:f>
      </x:c>
      <x:c r="M303" s="20" t="str">
        <x:f>_xlfn.IFNA(VLOOKUP(_xlfn.CONCAT("T",M$1,"V",$D303,"A",$A303),Vulnerabilities!$G:$G,1,FALSE),"")</x:f>
      </x:c>
      <x:c r="N303" s="20" t="str">
        <x:f>_xlfn.IFNA(VLOOKUP(_xlfn.CONCAT("T",N$1,"V",$D303,"A",$A303),Vulnerabilities!$G:$G,1,FALSE),"")</x:f>
      </x:c>
      <x:c r="O303" s="20" t="str">
        <x:f>_xlfn.IFNA(VLOOKUP(_xlfn.CONCAT("T",O$1,"V",$D303,"A",$A303),Vulnerabilities!$G:$G,1,FALSE),"")</x:f>
      </x:c>
      <x:c r="P303" s="16" t="str">
        <x:f>_xlfn.IFNA(VLOOKUP(_xlfn.CONCAT("T",P$1,"V",$D303,"A",$A303),Vulnerabilities!$G:$G,1,FALSE),"")</x:f>
      </x:c>
    </x:row>
    <x:row r="304">
      <x:c r="A304" s="1">
        <x:f t="shared" si="5"/>
        <x:v>76</x:v>
      </x:c>
      <x:c r="B304" t="str">
        <x:f>IF(VLOOKUP($A304,Assets!$A:$C,2,FALSE)=0,"",VLOOKUP($A304,Assets!$A:$C,2,FALSE))</x:f>
      </x:c>
      <x:c r="C304" t="str">
        <x:f>IF(VLOOKUP($A304,Assets!$A:$C,3,FALSE)=0,"",VLOOKUP($A304,Assets!$A:$C,3,FALSE))</x:f>
      </x:c>
      <x:c r="D304" s="16">
        <x:v>2</x:v>
      </x:c>
      <x:c r="E304" s="20" t="str">
        <x:f>_xlfn.IFNA(VLOOKUP(_xlfn.CONCAT("T",E$1,"V",$D304,"A",$A304),Vulnerabilities!$G:$G,1,FALSE),"")</x:f>
      </x:c>
      <x:c r="F304" s="20" t="str">
        <x:f>_xlfn.IFNA(VLOOKUP(_xlfn.CONCAT("T",F$1,"V",$D304,"A",$A304),Vulnerabilities!$G:$G,1,FALSE),"")</x:f>
      </x:c>
      <x:c r="G304" s="20" t="str">
        <x:f>_xlfn.IFNA(VLOOKUP(_xlfn.CONCAT("T",G$1,"V",$D304,"A",$A304),Vulnerabilities!$G:$G,1,FALSE),"")</x:f>
      </x:c>
      <x:c r="H304" s="20" t="str">
        <x:f>_xlfn.IFNA(VLOOKUP(_xlfn.CONCAT("T",H$1,"V",$D304,"A",$A304),Vulnerabilities!$G:$G,1,FALSE),"")</x:f>
      </x:c>
      <x:c r="I304" s="20" t="str">
        <x:f>_xlfn.IFNA(VLOOKUP(_xlfn.CONCAT("T",I$1,"V",$D304,"A",$A304),Vulnerabilities!$G:$G,1,FALSE),"")</x:f>
      </x:c>
      <x:c r="J304" s="20" t="str">
        <x:f>_xlfn.IFNA(VLOOKUP(_xlfn.CONCAT("T",J$1,"V",$D304,"A",$A304),Vulnerabilities!$G:$G,1,FALSE),"")</x:f>
      </x:c>
      <x:c r="K304" s="20" t="str">
        <x:f>_xlfn.IFNA(VLOOKUP(_xlfn.CONCAT("T",K$1,"V",$D304,"A",$A304),Vulnerabilities!$G:$G,1,FALSE),"")</x:f>
      </x:c>
      <x:c r="L304" s="20" t="str">
        <x:f>_xlfn.IFNA(VLOOKUP(_xlfn.CONCAT("T",L$1,"V",$D304,"A",$A304),Vulnerabilities!$G:$G,1,FALSE),"")</x:f>
      </x:c>
      <x:c r="M304" s="20" t="str">
        <x:f>_xlfn.IFNA(VLOOKUP(_xlfn.CONCAT("T",M$1,"V",$D304,"A",$A304),Vulnerabilities!$G:$G,1,FALSE),"")</x:f>
      </x:c>
      <x:c r="N304" s="20" t="str">
        <x:f>_xlfn.IFNA(VLOOKUP(_xlfn.CONCAT("T",N$1,"V",$D304,"A",$A304),Vulnerabilities!$G:$G,1,FALSE),"")</x:f>
      </x:c>
      <x:c r="O304" s="20" t="str">
        <x:f>_xlfn.IFNA(VLOOKUP(_xlfn.CONCAT("T",O$1,"V",$D304,"A",$A304),Vulnerabilities!$G:$G,1,FALSE),"")</x:f>
      </x:c>
      <x:c r="P304" s="16" t="str">
        <x:f>_xlfn.IFNA(VLOOKUP(_xlfn.CONCAT("T",P$1,"V",$D304,"A",$A304),Vulnerabilities!$G:$G,1,FALSE),"")</x:f>
      </x:c>
    </x:row>
    <x:row r="305">
      <x:c r="A305" s="1">
        <x:f t="shared" si="5"/>
        <x:v>76</x:v>
      </x:c>
      <x:c r="B305" t="str">
        <x:f>IF(VLOOKUP($A305,Assets!$A:$C,2,FALSE)=0,"",VLOOKUP($A305,Assets!$A:$C,2,FALSE))</x:f>
      </x:c>
      <x:c r="C305" t="str">
        <x:f>IF(VLOOKUP($A305,Assets!$A:$C,3,FALSE)=0,"",VLOOKUP($A305,Assets!$A:$C,3,FALSE))</x:f>
      </x:c>
      <x:c r="D305" s="16">
        <x:v>3</x:v>
      </x:c>
      <x:c r="E305" s="20" t="str">
        <x:f>_xlfn.IFNA(VLOOKUP(_xlfn.CONCAT("T",E$1,"V",$D305,"A",$A305),Vulnerabilities!$G:$G,1,FALSE),"")</x:f>
      </x:c>
      <x:c r="F305" s="20" t="str">
        <x:f>_xlfn.IFNA(VLOOKUP(_xlfn.CONCAT("T",F$1,"V",$D305,"A",$A305),Vulnerabilities!$G:$G,1,FALSE),"")</x:f>
      </x:c>
      <x:c r="G305" s="20" t="str">
        <x:f>_xlfn.IFNA(VLOOKUP(_xlfn.CONCAT("T",G$1,"V",$D305,"A",$A305),Vulnerabilities!$G:$G,1,FALSE),"")</x:f>
      </x:c>
      <x:c r="H305" s="20" t="str">
        <x:f>_xlfn.IFNA(VLOOKUP(_xlfn.CONCAT("T",H$1,"V",$D305,"A",$A305),Vulnerabilities!$G:$G,1,FALSE),"")</x:f>
      </x:c>
      <x:c r="I305" s="20" t="str">
        <x:f>_xlfn.IFNA(VLOOKUP(_xlfn.CONCAT("T",I$1,"V",$D305,"A",$A305),Vulnerabilities!$G:$G,1,FALSE),"")</x:f>
      </x:c>
      <x:c r="J305" s="20" t="str">
        <x:f>_xlfn.IFNA(VLOOKUP(_xlfn.CONCAT("T",J$1,"V",$D305,"A",$A305),Vulnerabilities!$G:$G,1,FALSE),"")</x:f>
      </x:c>
      <x:c r="K305" s="20" t="str">
        <x:f>_xlfn.IFNA(VLOOKUP(_xlfn.CONCAT("T",K$1,"V",$D305,"A",$A305),Vulnerabilities!$G:$G,1,FALSE),"")</x:f>
      </x:c>
      <x:c r="L305" s="20" t="str">
        <x:f>_xlfn.IFNA(VLOOKUP(_xlfn.CONCAT("T",L$1,"V",$D305,"A",$A305),Vulnerabilities!$G:$G,1,FALSE),"")</x:f>
      </x:c>
      <x:c r="M305" s="20" t="str">
        <x:f>_xlfn.IFNA(VLOOKUP(_xlfn.CONCAT("T",M$1,"V",$D305,"A",$A305),Vulnerabilities!$G:$G,1,FALSE),"")</x:f>
      </x:c>
      <x:c r="N305" s="20" t="str">
        <x:f>_xlfn.IFNA(VLOOKUP(_xlfn.CONCAT("T",N$1,"V",$D305,"A",$A305),Vulnerabilities!$G:$G,1,FALSE),"")</x:f>
      </x:c>
      <x:c r="O305" s="20" t="str">
        <x:f>_xlfn.IFNA(VLOOKUP(_xlfn.CONCAT("T",O$1,"V",$D305,"A",$A305),Vulnerabilities!$G:$G,1,FALSE),"")</x:f>
      </x:c>
      <x:c r="P305" s="16" t="str">
        <x:f>_xlfn.IFNA(VLOOKUP(_xlfn.CONCAT("T",P$1,"V",$D305,"A",$A305),Vulnerabilities!$G:$G,1,FALSE),"")</x:f>
      </x:c>
    </x:row>
    <x:row r="306">
      <x:c r="A306" s="11">
        <x:f t="shared" si="5"/>
        <x:v>76</x:v>
      </x:c>
      <x:c r="B306" s="12" t="str">
        <x:f>IF(VLOOKUP($A306,Assets!$A:$C,2,FALSE)=0,"",VLOOKUP($A306,Assets!$A:$C,2,FALSE))</x:f>
      </x:c>
      <x:c r="C306" s="12" t="str">
        <x:f>IF(VLOOKUP($A306,Assets!$A:$C,3,FALSE)=0,"",VLOOKUP($A306,Assets!$A:$C,3,FALSE))</x:f>
      </x:c>
      <x:c r="D306" s="17">
        <x:v>4</x:v>
      </x:c>
      <x:c r="E306" s="21" t="str">
        <x:f>_xlfn.IFNA(VLOOKUP(_xlfn.CONCAT("T",E$1,"V",$D306,"A",$A306),Vulnerabilities!$G:$G,1,FALSE),"")</x:f>
      </x:c>
      <x:c r="F306" s="21" t="str">
        <x:f>_xlfn.IFNA(VLOOKUP(_xlfn.CONCAT("T",F$1,"V",$D306,"A",$A306),Vulnerabilities!$G:$G,1,FALSE),"")</x:f>
      </x:c>
      <x:c r="G306" s="21" t="str">
        <x:f>_xlfn.IFNA(VLOOKUP(_xlfn.CONCAT("T",G$1,"V",$D306,"A",$A306),Vulnerabilities!$G:$G,1,FALSE),"")</x:f>
      </x:c>
      <x:c r="H306" s="21" t="str">
        <x:f>_xlfn.IFNA(VLOOKUP(_xlfn.CONCAT("T",H$1,"V",$D306,"A",$A306),Vulnerabilities!$G:$G,1,FALSE),"")</x:f>
      </x:c>
      <x:c r="I306" s="21" t="str">
        <x:f>_xlfn.IFNA(VLOOKUP(_xlfn.CONCAT("T",I$1,"V",$D306,"A",$A306),Vulnerabilities!$G:$G,1,FALSE),"")</x:f>
      </x:c>
      <x:c r="J306" s="21" t="str">
        <x:f>_xlfn.IFNA(VLOOKUP(_xlfn.CONCAT("T",J$1,"V",$D306,"A",$A306),Vulnerabilities!$G:$G,1,FALSE),"")</x:f>
      </x:c>
      <x:c r="K306" s="21" t="str">
        <x:f>_xlfn.IFNA(VLOOKUP(_xlfn.CONCAT("T",K$1,"V",$D306,"A",$A306),Vulnerabilities!$G:$G,1,FALSE),"")</x:f>
      </x:c>
      <x:c r="L306" s="21" t="str">
        <x:f>_xlfn.IFNA(VLOOKUP(_xlfn.CONCAT("T",L$1,"V",$D306,"A",$A306),Vulnerabilities!$G:$G,1,FALSE),"")</x:f>
      </x:c>
      <x:c r="M306" s="21" t="str">
        <x:f>_xlfn.IFNA(VLOOKUP(_xlfn.CONCAT("T",M$1,"V",$D306,"A",$A306),Vulnerabilities!$G:$G,1,FALSE),"")</x:f>
      </x:c>
      <x:c r="N306" s="21" t="str">
        <x:f>_xlfn.IFNA(VLOOKUP(_xlfn.CONCAT("T",N$1,"V",$D306,"A",$A306),Vulnerabilities!$G:$G,1,FALSE),"")</x:f>
      </x:c>
      <x:c r="O306" s="21" t="str">
        <x:f>_xlfn.IFNA(VLOOKUP(_xlfn.CONCAT("T",O$1,"V",$D306,"A",$A306),Vulnerabilities!$G:$G,1,FALSE),"")</x:f>
      </x:c>
      <x:c r="P306" s="17" t="str">
        <x:f>_xlfn.IFNA(VLOOKUP(_xlfn.CONCAT("T",P$1,"V",$D306,"A",$A306),Vulnerabilities!$G:$G,1,FALSE),"")</x:f>
      </x:c>
    </x:row>
    <x:row r="307">
      <x:c r="A307" s="1">
        <x:f t="shared" si="5"/>
        <x:v>77</x:v>
      </x:c>
      <x:c r="B307" t="str">
        <x:f>IF(VLOOKUP($A307,Assets!$A:$C,2,FALSE)=0,"",VLOOKUP($A307,Assets!$A:$C,2,FALSE))</x:f>
      </x:c>
      <x:c r="C307" t="str">
        <x:f>IF(VLOOKUP($A307,Assets!$A:$C,3,FALSE)=0,"",VLOOKUP($A307,Assets!$A:$C,3,FALSE))</x:f>
      </x:c>
      <x:c r="D307" s="16">
        <x:v>1</x:v>
      </x:c>
      <x:c r="E307" s="20" t="str">
        <x:f>_xlfn.IFNA(VLOOKUP(_xlfn.CONCAT("T",E$1,"V",$D307,"A",$A307),Vulnerabilities!$G:$G,1,FALSE),"")</x:f>
      </x:c>
      <x:c r="F307" s="20" t="str">
        <x:f>_xlfn.IFNA(VLOOKUP(_xlfn.CONCAT("T",F$1,"V",$D307,"A",$A307),Vulnerabilities!$G:$G,1,FALSE),"")</x:f>
      </x:c>
      <x:c r="G307" s="20" t="str">
        <x:f>_xlfn.IFNA(VLOOKUP(_xlfn.CONCAT("T",G$1,"V",$D307,"A",$A307),Vulnerabilities!$G:$G,1,FALSE),"")</x:f>
      </x:c>
      <x:c r="H307" s="20" t="str">
        <x:f>_xlfn.IFNA(VLOOKUP(_xlfn.CONCAT("T",H$1,"V",$D307,"A",$A307),Vulnerabilities!$G:$G,1,FALSE),"")</x:f>
      </x:c>
      <x:c r="I307" s="20" t="str">
        <x:f>_xlfn.IFNA(VLOOKUP(_xlfn.CONCAT("T",I$1,"V",$D307,"A",$A307),Vulnerabilities!$G:$G,1,FALSE),"")</x:f>
      </x:c>
      <x:c r="J307" s="20" t="str">
        <x:f>_xlfn.IFNA(VLOOKUP(_xlfn.CONCAT("T",J$1,"V",$D307,"A",$A307),Vulnerabilities!$G:$G,1,FALSE),"")</x:f>
      </x:c>
      <x:c r="K307" s="20" t="str">
        <x:f>_xlfn.IFNA(VLOOKUP(_xlfn.CONCAT("T",K$1,"V",$D307,"A",$A307),Vulnerabilities!$G:$G,1,FALSE),"")</x:f>
      </x:c>
      <x:c r="L307" s="20" t="str">
        <x:f>_xlfn.IFNA(VLOOKUP(_xlfn.CONCAT("T",L$1,"V",$D307,"A",$A307),Vulnerabilities!$G:$G,1,FALSE),"")</x:f>
      </x:c>
      <x:c r="M307" s="20" t="str">
        <x:f>_xlfn.IFNA(VLOOKUP(_xlfn.CONCAT("T",M$1,"V",$D307,"A",$A307),Vulnerabilities!$G:$G,1,FALSE),"")</x:f>
      </x:c>
      <x:c r="N307" s="20" t="str">
        <x:f>_xlfn.IFNA(VLOOKUP(_xlfn.CONCAT("T",N$1,"V",$D307,"A",$A307),Vulnerabilities!$G:$G,1,FALSE),"")</x:f>
      </x:c>
      <x:c r="O307" s="20" t="str">
        <x:f>_xlfn.IFNA(VLOOKUP(_xlfn.CONCAT("T",O$1,"V",$D307,"A",$A307),Vulnerabilities!$G:$G,1,FALSE),"")</x:f>
      </x:c>
      <x:c r="P307" s="16" t="str">
        <x:f>_xlfn.IFNA(VLOOKUP(_xlfn.CONCAT("T",P$1,"V",$D307,"A",$A307),Vulnerabilities!$G:$G,1,FALSE),"")</x:f>
      </x:c>
    </x:row>
    <x:row r="308">
      <x:c r="A308" s="1">
        <x:f t="shared" si="5"/>
        <x:v>77</x:v>
      </x:c>
      <x:c r="B308" t="str">
        <x:f>IF(VLOOKUP($A308,Assets!$A:$C,2,FALSE)=0,"",VLOOKUP($A308,Assets!$A:$C,2,FALSE))</x:f>
      </x:c>
      <x:c r="C308" t="str">
        <x:f>IF(VLOOKUP($A308,Assets!$A:$C,3,FALSE)=0,"",VLOOKUP($A308,Assets!$A:$C,3,FALSE))</x:f>
      </x:c>
      <x:c r="D308" s="16">
        <x:v>2</x:v>
      </x:c>
      <x:c r="E308" s="20" t="str">
        <x:f>_xlfn.IFNA(VLOOKUP(_xlfn.CONCAT("T",E$1,"V",$D308,"A",$A308),Vulnerabilities!$G:$G,1,FALSE),"")</x:f>
      </x:c>
      <x:c r="F308" s="20" t="str">
        <x:f>_xlfn.IFNA(VLOOKUP(_xlfn.CONCAT("T",F$1,"V",$D308,"A",$A308),Vulnerabilities!$G:$G,1,FALSE),"")</x:f>
      </x:c>
      <x:c r="G308" s="20" t="str">
        <x:f>_xlfn.IFNA(VLOOKUP(_xlfn.CONCAT("T",G$1,"V",$D308,"A",$A308),Vulnerabilities!$G:$G,1,FALSE),"")</x:f>
      </x:c>
      <x:c r="H308" s="20" t="str">
        <x:f>_xlfn.IFNA(VLOOKUP(_xlfn.CONCAT("T",H$1,"V",$D308,"A",$A308),Vulnerabilities!$G:$G,1,FALSE),"")</x:f>
      </x:c>
      <x:c r="I308" s="20" t="str">
        <x:f>_xlfn.IFNA(VLOOKUP(_xlfn.CONCAT("T",I$1,"V",$D308,"A",$A308),Vulnerabilities!$G:$G,1,FALSE),"")</x:f>
      </x:c>
      <x:c r="J308" s="20" t="str">
        <x:f>_xlfn.IFNA(VLOOKUP(_xlfn.CONCAT("T",J$1,"V",$D308,"A",$A308),Vulnerabilities!$G:$G,1,FALSE),"")</x:f>
      </x:c>
      <x:c r="K308" s="20" t="str">
        <x:f>_xlfn.IFNA(VLOOKUP(_xlfn.CONCAT("T",K$1,"V",$D308,"A",$A308),Vulnerabilities!$G:$G,1,FALSE),"")</x:f>
      </x:c>
      <x:c r="L308" s="20" t="str">
        <x:f>_xlfn.IFNA(VLOOKUP(_xlfn.CONCAT("T",L$1,"V",$D308,"A",$A308),Vulnerabilities!$G:$G,1,FALSE),"")</x:f>
      </x:c>
      <x:c r="M308" s="20" t="str">
        <x:f>_xlfn.IFNA(VLOOKUP(_xlfn.CONCAT("T",M$1,"V",$D308,"A",$A308),Vulnerabilities!$G:$G,1,FALSE),"")</x:f>
      </x:c>
      <x:c r="N308" s="20" t="str">
        <x:f>_xlfn.IFNA(VLOOKUP(_xlfn.CONCAT("T",N$1,"V",$D308,"A",$A308),Vulnerabilities!$G:$G,1,FALSE),"")</x:f>
      </x:c>
      <x:c r="O308" s="20" t="str">
        <x:f>_xlfn.IFNA(VLOOKUP(_xlfn.CONCAT("T",O$1,"V",$D308,"A",$A308),Vulnerabilities!$G:$G,1,FALSE),"")</x:f>
      </x:c>
      <x:c r="P308" s="16" t="str">
        <x:f>_xlfn.IFNA(VLOOKUP(_xlfn.CONCAT("T",P$1,"V",$D308,"A",$A308),Vulnerabilities!$G:$G,1,FALSE),"")</x:f>
      </x:c>
    </x:row>
    <x:row r="309">
      <x:c r="A309" s="1">
        <x:f t="shared" si="5"/>
        <x:v>77</x:v>
      </x:c>
      <x:c r="B309" t="str">
        <x:f>IF(VLOOKUP($A309,Assets!$A:$C,2,FALSE)=0,"",VLOOKUP($A309,Assets!$A:$C,2,FALSE))</x:f>
      </x:c>
      <x:c r="C309" t="str">
        <x:f>IF(VLOOKUP($A309,Assets!$A:$C,3,FALSE)=0,"",VLOOKUP($A309,Assets!$A:$C,3,FALSE))</x:f>
      </x:c>
      <x:c r="D309" s="16">
        <x:v>3</x:v>
      </x:c>
      <x:c r="E309" s="20" t="str">
        <x:f>_xlfn.IFNA(VLOOKUP(_xlfn.CONCAT("T",E$1,"V",$D309,"A",$A309),Vulnerabilities!$G:$G,1,FALSE),"")</x:f>
      </x:c>
      <x:c r="F309" s="20" t="str">
        <x:f>_xlfn.IFNA(VLOOKUP(_xlfn.CONCAT("T",F$1,"V",$D309,"A",$A309),Vulnerabilities!$G:$G,1,FALSE),"")</x:f>
      </x:c>
      <x:c r="G309" s="20" t="str">
        <x:f>_xlfn.IFNA(VLOOKUP(_xlfn.CONCAT("T",G$1,"V",$D309,"A",$A309),Vulnerabilities!$G:$G,1,FALSE),"")</x:f>
      </x:c>
      <x:c r="H309" s="20" t="str">
        <x:f>_xlfn.IFNA(VLOOKUP(_xlfn.CONCAT("T",H$1,"V",$D309,"A",$A309),Vulnerabilities!$G:$G,1,FALSE),"")</x:f>
      </x:c>
      <x:c r="I309" s="20" t="str">
        <x:f>_xlfn.IFNA(VLOOKUP(_xlfn.CONCAT("T",I$1,"V",$D309,"A",$A309),Vulnerabilities!$G:$G,1,FALSE),"")</x:f>
      </x:c>
      <x:c r="J309" s="20" t="str">
        <x:f>_xlfn.IFNA(VLOOKUP(_xlfn.CONCAT("T",J$1,"V",$D309,"A",$A309),Vulnerabilities!$G:$G,1,FALSE),"")</x:f>
      </x:c>
      <x:c r="K309" s="20" t="str">
        <x:f>_xlfn.IFNA(VLOOKUP(_xlfn.CONCAT("T",K$1,"V",$D309,"A",$A309),Vulnerabilities!$G:$G,1,FALSE),"")</x:f>
      </x:c>
      <x:c r="L309" s="20" t="str">
        <x:f>_xlfn.IFNA(VLOOKUP(_xlfn.CONCAT("T",L$1,"V",$D309,"A",$A309),Vulnerabilities!$G:$G,1,FALSE),"")</x:f>
      </x:c>
      <x:c r="M309" s="20" t="str">
        <x:f>_xlfn.IFNA(VLOOKUP(_xlfn.CONCAT("T",M$1,"V",$D309,"A",$A309),Vulnerabilities!$G:$G,1,FALSE),"")</x:f>
      </x:c>
      <x:c r="N309" s="20" t="str">
        <x:f>_xlfn.IFNA(VLOOKUP(_xlfn.CONCAT("T",N$1,"V",$D309,"A",$A309),Vulnerabilities!$G:$G,1,FALSE),"")</x:f>
      </x:c>
      <x:c r="O309" s="20" t="str">
        <x:f>_xlfn.IFNA(VLOOKUP(_xlfn.CONCAT("T",O$1,"V",$D309,"A",$A309),Vulnerabilities!$G:$G,1,FALSE),"")</x:f>
      </x:c>
      <x:c r="P309" s="16" t="str">
        <x:f>_xlfn.IFNA(VLOOKUP(_xlfn.CONCAT("T",P$1,"V",$D309,"A",$A309),Vulnerabilities!$G:$G,1,FALSE),"")</x:f>
      </x:c>
    </x:row>
    <x:row r="310">
      <x:c r="A310" s="11">
        <x:f t="shared" si="5"/>
        <x:v>77</x:v>
      </x:c>
      <x:c r="B310" s="12" t="str">
        <x:f>IF(VLOOKUP($A310,Assets!$A:$C,2,FALSE)=0,"",VLOOKUP($A310,Assets!$A:$C,2,FALSE))</x:f>
      </x:c>
      <x:c r="C310" s="12" t="str">
        <x:f>IF(VLOOKUP($A310,Assets!$A:$C,3,FALSE)=0,"",VLOOKUP($A310,Assets!$A:$C,3,FALSE))</x:f>
      </x:c>
      <x:c r="D310" s="17">
        <x:v>4</x:v>
      </x:c>
      <x:c r="E310" s="21" t="str">
        <x:f>_xlfn.IFNA(VLOOKUP(_xlfn.CONCAT("T",E$1,"V",$D310,"A",$A310),Vulnerabilities!$G:$G,1,FALSE),"")</x:f>
      </x:c>
      <x:c r="F310" s="21" t="str">
        <x:f>_xlfn.IFNA(VLOOKUP(_xlfn.CONCAT("T",F$1,"V",$D310,"A",$A310),Vulnerabilities!$G:$G,1,FALSE),"")</x:f>
      </x:c>
      <x:c r="G310" s="21" t="str">
        <x:f>_xlfn.IFNA(VLOOKUP(_xlfn.CONCAT("T",G$1,"V",$D310,"A",$A310),Vulnerabilities!$G:$G,1,FALSE),"")</x:f>
      </x:c>
      <x:c r="H310" s="21" t="str">
        <x:f>_xlfn.IFNA(VLOOKUP(_xlfn.CONCAT("T",H$1,"V",$D310,"A",$A310),Vulnerabilities!$G:$G,1,FALSE),"")</x:f>
      </x:c>
      <x:c r="I310" s="21" t="str">
        <x:f>_xlfn.IFNA(VLOOKUP(_xlfn.CONCAT("T",I$1,"V",$D310,"A",$A310),Vulnerabilities!$G:$G,1,FALSE),"")</x:f>
      </x:c>
      <x:c r="J310" s="21" t="str">
        <x:f>_xlfn.IFNA(VLOOKUP(_xlfn.CONCAT("T",J$1,"V",$D310,"A",$A310),Vulnerabilities!$G:$G,1,FALSE),"")</x:f>
      </x:c>
      <x:c r="K310" s="21" t="str">
        <x:f>_xlfn.IFNA(VLOOKUP(_xlfn.CONCAT("T",K$1,"V",$D310,"A",$A310),Vulnerabilities!$G:$G,1,FALSE),"")</x:f>
      </x:c>
      <x:c r="L310" s="21" t="str">
        <x:f>_xlfn.IFNA(VLOOKUP(_xlfn.CONCAT("T",L$1,"V",$D310,"A",$A310),Vulnerabilities!$G:$G,1,FALSE),"")</x:f>
      </x:c>
      <x:c r="M310" s="21" t="str">
        <x:f>_xlfn.IFNA(VLOOKUP(_xlfn.CONCAT("T",M$1,"V",$D310,"A",$A310),Vulnerabilities!$G:$G,1,FALSE),"")</x:f>
      </x:c>
      <x:c r="N310" s="21" t="str">
        <x:f>_xlfn.IFNA(VLOOKUP(_xlfn.CONCAT("T",N$1,"V",$D310,"A",$A310),Vulnerabilities!$G:$G,1,FALSE),"")</x:f>
      </x:c>
      <x:c r="O310" s="21" t="str">
        <x:f>_xlfn.IFNA(VLOOKUP(_xlfn.CONCAT("T",O$1,"V",$D310,"A",$A310),Vulnerabilities!$G:$G,1,FALSE),"")</x:f>
      </x:c>
      <x:c r="P310" s="17" t="str">
        <x:f>_xlfn.IFNA(VLOOKUP(_xlfn.CONCAT("T",P$1,"V",$D310,"A",$A310),Vulnerabilities!$G:$G,1,FALSE),"")</x:f>
      </x:c>
    </x:row>
    <x:row r="311">
      <x:c r="A311" s="1">
        <x:f t="shared" si="5"/>
        <x:v>78</x:v>
      </x:c>
      <x:c r="B311" t="str">
        <x:f>IF(VLOOKUP($A311,Assets!$A:$C,2,FALSE)=0,"",VLOOKUP($A311,Assets!$A:$C,2,FALSE))</x:f>
      </x:c>
      <x:c r="C311" t="str">
        <x:f>IF(VLOOKUP($A311,Assets!$A:$C,3,FALSE)=0,"",VLOOKUP($A311,Assets!$A:$C,3,FALSE))</x:f>
      </x:c>
      <x:c r="D311" s="16">
        <x:v>1</x:v>
      </x:c>
      <x:c r="E311" s="20" t="str">
        <x:f>_xlfn.IFNA(VLOOKUP(_xlfn.CONCAT("T",E$1,"V",$D311,"A",$A311),Vulnerabilities!$G:$G,1,FALSE),"")</x:f>
      </x:c>
      <x:c r="F311" s="20" t="str">
        <x:f>_xlfn.IFNA(VLOOKUP(_xlfn.CONCAT("T",F$1,"V",$D311,"A",$A311),Vulnerabilities!$G:$G,1,FALSE),"")</x:f>
      </x:c>
      <x:c r="G311" s="20" t="str">
        <x:f>_xlfn.IFNA(VLOOKUP(_xlfn.CONCAT("T",G$1,"V",$D311,"A",$A311),Vulnerabilities!$G:$G,1,FALSE),"")</x:f>
      </x:c>
      <x:c r="H311" s="20" t="str">
        <x:f>_xlfn.IFNA(VLOOKUP(_xlfn.CONCAT("T",H$1,"V",$D311,"A",$A311),Vulnerabilities!$G:$G,1,FALSE),"")</x:f>
      </x:c>
      <x:c r="I311" s="20" t="str">
        <x:f>_xlfn.IFNA(VLOOKUP(_xlfn.CONCAT("T",I$1,"V",$D311,"A",$A311),Vulnerabilities!$G:$G,1,FALSE),"")</x:f>
      </x:c>
      <x:c r="J311" s="20" t="str">
        <x:f>_xlfn.IFNA(VLOOKUP(_xlfn.CONCAT("T",J$1,"V",$D311,"A",$A311),Vulnerabilities!$G:$G,1,FALSE),"")</x:f>
      </x:c>
      <x:c r="K311" s="20" t="str">
        <x:f>_xlfn.IFNA(VLOOKUP(_xlfn.CONCAT("T",K$1,"V",$D311,"A",$A311),Vulnerabilities!$G:$G,1,FALSE),"")</x:f>
      </x:c>
      <x:c r="L311" s="20" t="str">
        <x:f>_xlfn.IFNA(VLOOKUP(_xlfn.CONCAT("T",L$1,"V",$D311,"A",$A311),Vulnerabilities!$G:$G,1,FALSE),"")</x:f>
      </x:c>
      <x:c r="M311" s="20" t="str">
        <x:f>_xlfn.IFNA(VLOOKUP(_xlfn.CONCAT("T",M$1,"V",$D311,"A",$A311),Vulnerabilities!$G:$G,1,FALSE),"")</x:f>
      </x:c>
      <x:c r="N311" s="20" t="str">
        <x:f>_xlfn.IFNA(VLOOKUP(_xlfn.CONCAT("T",N$1,"V",$D311,"A",$A311),Vulnerabilities!$G:$G,1,FALSE),"")</x:f>
      </x:c>
      <x:c r="O311" s="20" t="str">
        <x:f>_xlfn.IFNA(VLOOKUP(_xlfn.CONCAT("T",O$1,"V",$D311,"A",$A311),Vulnerabilities!$G:$G,1,FALSE),"")</x:f>
      </x:c>
      <x:c r="P311" s="16" t="str">
        <x:f>_xlfn.IFNA(VLOOKUP(_xlfn.CONCAT("T",P$1,"V",$D311,"A",$A311),Vulnerabilities!$G:$G,1,FALSE),"")</x:f>
      </x:c>
    </x:row>
    <x:row r="312">
      <x:c r="A312" s="1">
        <x:f t="shared" si="5"/>
        <x:v>78</x:v>
      </x:c>
      <x:c r="B312" t="str">
        <x:f>IF(VLOOKUP($A312,Assets!$A:$C,2,FALSE)=0,"",VLOOKUP($A312,Assets!$A:$C,2,FALSE))</x:f>
      </x:c>
      <x:c r="C312" t="str">
        <x:f>IF(VLOOKUP($A312,Assets!$A:$C,3,FALSE)=0,"",VLOOKUP($A312,Assets!$A:$C,3,FALSE))</x:f>
      </x:c>
      <x:c r="D312" s="16">
        <x:v>2</x:v>
      </x:c>
      <x:c r="E312" s="20" t="str">
        <x:f>_xlfn.IFNA(VLOOKUP(_xlfn.CONCAT("T",E$1,"V",$D312,"A",$A312),Vulnerabilities!$G:$G,1,FALSE),"")</x:f>
      </x:c>
      <x:c r="F312" s="20" t="str">
        <x:f>_xlfn.IFNA(VLOOKUP(_xlfn.CONCAT("T",F$1,"V",$D312,"A",$A312),Vulnerabilities!$G:$G,1,FALSE),"")</x:f>
      </x:c>
      <x:c r="G312" s="20" t="str">
        <x:f>_xlfn.IFNA(VLOOKUP(_xlfn.CONCAT("T",G$1,"V",$D312,"A",$A312),Vulnerabilities!$G:$G,1,FALSE),"")</x:f>
      </x:c>
      <x:c r="H312" s="20" t="str">
        <x:f>_xlfn.IFNA(VLOOKUP(_xlfn.CONCAT("T",H$1,"V",$D312,"A",$A312),Vulnerabilities!$G:$G,1,FALSE),"")</x:f>
      </x:c>
      <x:c r="I312" s="20" t="str">
        <x:f>_xlfn.IFNA(VLOOKUP(_xlfn.CONCAT("T",I$1,"V",$D312,"A",$A312),Vulnerabilities!$G:$G,1,FALSE),"")</x:f>
      </x:c>
      <x:c r="J312" s="20" t="str">
        <x:f>_xlfn.IFNA(VLOOKUP(_xlfn.CONCAT("T",J$1,"V",$D312,"A",$A312),Vulnerabilities!$G:$G,1,FALSE),"")</x:f>
      </x:c>
      <x:c r="K312" s="20" t="str">
        <x:f>_xlfn.IFNA(VLOOKUP(_xlfn.CONCAT("T",K$1,"V",$D312,"A",$A312),Vulnerabilities!$G:$G,1,FALSE),"")</x:f>
      </x:c>
      <x:c r="L312" s="20" t="str">
        <x:f>_xlfn.IFNA(VLOOKUP(_xlfn.CONCAT("T",L$1,"V",$D312,"A",$A312),Vulnerabilities!$G:$G,1,FALSE),"")</x:f>
      </x:c>
      <x:c r="M312" s="20" t="str">
        <x:f>_xlfn.IFNA(VLOOKUP(_xlfn.CONCAT("T",M$1,"V",$D312,"A",$A312),Vulnerabilities!$G:$G,1,FALSE),"")</x:f>
      </x:c>
      <x:c r="N312" s="20" t="str">
        <x:f>_xlfn.IFNA(VLOOKUP(_xlfn.CONCAT("T",N$1,"V",$D312,"A",$A312),Vulnerabilities!$G:$G,1,FALSE),"")</x:f>
      </x:c>
      <x:c r="O312" s="20" t="str">
        <x:f>_xlfn.IFNA(VLOOKUP(_xlfn.CONCAT("T",O$1,"V",$D312,"A",$A312),Vulnerabilities!$G:$G,1,FALSE),"")</x:f>
      </x:c>
      <x:c r="P312" s="16" t="str">
        <x:f>_xlfn.IFNA(VLOOKUP(_xlfn.CONCAT("T",P$1,"V",$D312,"A",$A312),Vulnerabilities!$G:$G,1,FALSE),"")</x:f>
      </x:c>
    </x:row>
    <x:row r="313">
      <x:c r="A313" s="1">
        <x:f t="shared" si="5"/>
        <x:v>78</x:v>
      </x:c>
      <x:c r="B313" t="str">
        <x:f>IF(VLOOKUP($A313,Assets!$A:$C,2,FALSE)=0,"",VLOOKUP($A313,Assets!$A:$C,2,FALSE))</x:f>
      </x:c>
      <x:c r="C313" t="str">
        <x:f>IF(VLOOKUP($A313,Assets!$A:$C,3,FALSE)=0,"",VLOOKUP($A313,Assets!$A:$C,3,FALSE))</x:f>
      </x:c>
      <x:c r="D313" s="16">
        <x:v>3</x:v>
      </x:c>
      <x:c r="E313" s="20" t="str">
        <x:f>_xlfn.IFNA(VLOOKUP(_xlfn.CONCAT("T",E$1,"V",$D313,"A",$A313),Vulnerabilities!$G:$G,1,FALSE),"")</x:f>
      </x:c>
      <x:c r="F313" s="20" t="str">
        <x:f>_xlfn.IFNA(VLOOKUP(_xlfn.CONCAT("T",F$1,"V",$D313,"A",$A313),Vulnerabilities!$G:$G,1,FALSE),"")</x:f>
      </x:c>
      <x:c r="G313" s="20" t="str">
        <x:f>_xlfn.IFNA(VLOOKUP(_xlfn.CONCAT("T",G$1,"V",$D313,"A",$A313),Vulnerabilities!$G:$G,1,FALSE),"")</x:f>
      </x:c>
      <x:c r="H313" s="20" t="str">
        <x:f>_xlfn.IFNA(VLOOKUP(_xlfn.CONCAT("T",H$1,"V",$D313,"A",$A313),Vulnerabilities!$G:$G,1,FALSE),"")</x:f>
      </x:c>
      <x:c r="I313" s="20" t="str">
        <x:f>_xlfn.IFNA(VLOOKUP(_xlfn.CONCAT("T",I$1,"V",$D313,"A",$A313),Vulnerabilities!$G:$G,1,FALSE),"")</x:f>
      </x:c>
      <x:c r="J313" s="20" t="str">
        <x:f>_xlfn.IFNA(VLOOKUP(_xlfn.CONCAT("T",J$1,"V",$D313,"A",$A313),Vulnerabilities!$G:$G,1,FALSE),"")</x:f>
      </x:c>
      <x:c r="K313" s="20" t="str">
        <x:f>_xlfn.IFNA(VLOOKUP(_xlfn.CONCAT("T",K$1,"V",$D313,"A",$A313),Vulnerabilities!$G:$G,1,FALSE),"")</x:f>
      </x:c>
      <x:c r="L313" s="20" t="str">
        <x:f>_xlfn.IFNA(VLOOKUP(_xlfn.CONCAT("T",L$1,"V",$D313,"A",$A313),Vulnerabilities!$G:$G,1,FALSE),"")</x:f>
      </x:c>
      <x:c r="M313" s="20" t="str">
        <x:f>_xlfn.IFNA(VLOOKUP(_xlfn.CONCAT("T",M$1,"V",$D313,"A",$A313),Vulnerabilities!$G:$G,1,FALSE),"")</x:f>
      </x:c>
      <x:c r="N313" s="20" t="str">
        <x:f>_xlfn.IFNA(VLOOKUP(_xlfn.CONCAT("T",N$1,"V",$D313,"A",$A313),Vulnerabilities!$G:$G,1,FALSE),"")</x:f>
      </x:c>
      <x:c r="O313" s="20" t="str">
        <x:f>_xlfn.IFNA(VLOOKUP(_xlfn.CONCAT("T",O$1,"V",$D313,"A",$A313),Vulnerabilities!$G:$G,1,FALSE),"")</x:f>
      </x:c>
      <x:c r="P313" s="16" t="str">
        <x:f>_xlfn.IFNA(VLOOKUP(_xlfn.CONCAT("T",P$1,"V",$D313,"A",$A313),Vulnerabilities!$G:$G,1,FALSE),"")</x:f>
      </x:c>
    </x:row>
    <x:row r="314">
      <x:c r="A314" s="11">
        <x:f t="shared" si="5"/>
        <x:v>78</x:v>
      </x:c>
      <x:c r="B314" s="12" t="str">
        <x:f>IF(VLOOKUP($A314,Assets!$A:$C,2,FALSE)=0,"",VLOOKUP($A314,Assets!$A:$C,2,FALSE))</x:f>
      </x:c>
      <x:c r="C314" s="12" t="str">
        <x:f>IF(VLOOKUP($A314,Assets!$A:$C,3,FALSE)=0,"",VLOOKUP($A314,Assets!$A:$C,3,FALSE))</x:f>
      </x:c>
      <x:c r="D314" s="17">
        <x:v>4</x:v>
      </x:c>
      <x:c r="E314" s="21" t="str">
        <x:f>_xlfn.IFNA(VLOOKUP(_xlfn.CONCAT("T",E$1,"V",$D314,"A",$A314),Vulnerabilities!$G:$G,1,FALSE),"")</x:f>
      </x:c>
      <x:c r="F314" s="21" t="str">
        <x:f>_xlfn.IFNA(VLOOKUP(_xlfn.CONCAT("T",F$1,"V",$D314,"A",$A314),Vulnerabilities!$G:$G,1,FALSE),"")</x:f>
      </x:c>
      <x:c r="G314" s="21" t="str">
        <x:f>_xlfn.IFNA(VLOOKUP(_xlfn.CONCAT("T",G$1,"V",$D314,"A",$A314),Vulnerabilities!$G:$G,1,FALSE),"")</x:f>
      </x:c>
      <x:c r="H314" s="21" t="str">
        <x:f>_xlfn.IFNA(VLOOKUP(_xlfn.CONCAT("T",H$1,"V",$D314,"A",$A314),Vulnerabilities!$G:$G,1,FALSE),"")</x:f>
      </x:c>
      <x:c r="I314" s="21" t="str">
        <x:f>_xlfn.IFNA(VLOOKUP(_xlfn.CONCAT("T",I$1,"V",$D314,"A",$A314),Vulnerabilities!$G:$G,1,FALSE),"")</x:f>
      </x:c>
      <x:c r="J314" s="21" t="str">
        <x:f>_xlfn.IFNA(VLOOKUP(_xlfn.CONCAT("T",J$1,"V",$D314,"A",$A314),Vulnerabilities!$G:$G,1,FALSE),"")</x:f>
      </x:c>
      <x:c r="K314" s="21" t="str">
        <x:f>_xlfn.IFNA(VLOOKUP(_xlfn.CONCAT("T",K$1,"V",$D314,"A",$A314),Vulnerabilities!$G:$G,1,FALSE),"")</x:f>
      </x:c>
      <x:c r="L314" s="21" t="str">
        <x:f>_xlfn.IFNA(VLOOKUP(_xlfn.CONCAT("T",L$1,"V",$D314,"A",$A314),Vulnerabilities!$G:$G,1,FALSE),"")</x:f>
      </x:c>
      <x:c r="M314" s="21" t="str">
        <x:f>_xlfn.IFNA(VLOOKUP(_xlfn.CONCAT("T",M$1,"V",$D314,"A",$A314),Vulnerabilities!$G:$G,1,FALSE),"")</x:f>
      </x:c>
      <x:c r="N314" s="21" t="str">
        <x:f>_xlfn.IFNA(VLOOKUP(_xlfn.CONCAT("T",N$1,"V",$D314,"A",$A314),Vulnerabilities!$G:$G,1,FALSE),"")</x:f>
      </x:c>
      <x:c r="O314" s="21" t="str">
        <x:f>_xlfn.IFNA(VLOOKUP(_xlfn.CONCAT("T",O$1,"V",$D314,"A",$A314),Vulnerabilities!$G:$G,1,FALSE),"")</x:f>
      </x:c>
      <x:c r="P314" s="17" t="str">
        <x:f>_xlfn.IFNA(VLOOKUP(_xlfn.CONCAT("T",P$1,"V",$D314,"A",$A314),Vulnerabilities!$G:$G,1,FALSE),"")</x:f>
      </x:c>
    </x:row>
    <x:row r="315">
      <x:c r="A315" s="1">
        <x:f t="shared" si="5"/>
        <x:v>79</x:v>
      </x:c>
      <x:c r="B315" t="str">
        <x:f>IF(VLOOKUP($A315,Assets!$A:$C,2,FALSE)=0,"",VLOOKUP($A315,Assets!$A:$C,2,FALSE))</x:f>
      </x:c>
      <x:c r="C315" t="str">
        <x:f>IF(VLOOKUP($A315,Assets!$A:$C,3,FALSE)=0,"",VLOOKUP($A315,Assets!$A:$C,3,FALSE))</x:f>
      </x:c>
      <x:c r="D315" s="16">
        <x:v>1</x:v>
      </x:c>
      <x:c r="E315" s="20" t="str">
        <x:f>_xlfn.IFNA(VLOOKUP(_xlfn.CONCAT("T",E$1,"V",$D315,"A",$A315),Vulnerabilities!$G:$G,1,FALSE),"")</x:f>
      </x:c>
      <x:c r="F315" s="20" t="str">
        <x:f>_xlfn.IFNA(VLOOKUP(_xlfn.CONCAT("T",F$1,"V",$D315,"A",$A315),Vulnerabilities!$G:$G,1,FALSE),"")</x:f>
      </x:c>
      <x:c r="G315" s="20" t="str">
        <x:f>_xlfn.IFNA(VLOOKUP(_xlfn.CONCAT("T",G$1,"V",$D315,"A",$A315),Vulnerabilities!$G:$G,1,FALSE),"")</x:f>
      </x:c>
      <x:c r="H315" s="20" t="str">
        <x:f>_xlfn.IFNA(VLOOKUP(_xlfn.CONCAT("T",H$1,"V",$D315,"A",$A315),Vulnerabilities!$G:$G,1,FALSE),"")</x:f>
      </x:c>
      <x:c r="I315" s="20" t="str">
        <x:f>_xlfn.IFNA(VLOOKUP(_xlfn.CONCAT("T",I$1,"V",$D315,"A",$A315),Vulnerabilities!$G:$G,1,FALSE),"")</x:f>
      </x:c>
      <x:c r="J315" s="20" t="str">
        <x:f>_xlfn.IFNA(VLOOKUP(_xlfn.CONCAT("T",J$1,"V",$D315,"A",$A315),Vulnerabilities!$G:$G,1,FALSE),"")</x:f>
      </x:c>
      <x:c r="K315" s="20" t="str">
        <x:f>_xlfn.IFNA(VLOOKUP(_xlfn.CONCAT("T",K$1,"V",$D315,"A",$A315),Vulnerabilities!$G:$G,1,FALSE),"")</x:f>
      </x:c>
      <x:c r="L315" s="20" t="str">
        <x:f>_xlfn.IFNA(VLOOKUP(_xlfn.CONCAT("T",L$1,"V",$D315,"A",$A315),Vulnerabilities!$G:$G,1,FALSE),"")</x:f>
      </x:c>
      <x:c r="M315" s="20" t="str">
        <x:f>_xlfn.IFNA(VLOOKUP(_xlfn.CONCAT("T",M$1,"V",$D315,"A",$A315),Vulnerabilities!$G:$G,1,FALSE),"")</x:f>
      </x:c>
      <x:c r="N315" s="20" t="str">
        <x:f>_xlfn.IFNA(VLOOKUP(_xlfn.CONCAT("T",N$1,"V",$D315,"A",$A315),Vulnerabilities!$G:$G,1,FALSE),"")</x:f>
      </x:c>
      <x:c r="O315" s="20" t="str">
        <x:f>_xlfn.IFNA(VLOOKUP(_xlfn.CONCAT("T",O$1,"V",$D315,"A",$A315),Vulnerabilities!$G:$G,1,FALSE),"")</x:f>
      </x:c>
      <x:c r="P315" s="16" t="str">
        <x:f>_xlfn.IFNA(VLOOKUP(_xlfn.CONCAT("T",P$1,"V",$D315,"A",$A315),Vulnerabilities!$G:$G,1,FALSE),"")</x:f>
      </x:c>
    </x:row>
    <x:row r="316">
      <x:c r="A316" s="1">
        <x:f t="shared" si="5"/>
        <x:v>79</x:v>
      </x:c>
      <x:c r="B316" t="str">
        <x:f>IF(VLOOKUP($A316,Assets!$A:$C,2,FALSE)=0,"",VLOOKUP($A316,Assets!$A:$C,2,FALSE))</x:f>
      </x:c>
      <x:c r="C316" t="str">
        <x:f>IF(VLOOKUP($A316,Assets!$A:$C,3,FALSE)=0,"",VLOOKUP($A316,Assets!$A:$C,3,FALSE))</x:f>
      </x:c>
      <x:c r="D316" s="16">
        <x:v>2</x:v>
      </x:c>
      <x:c r="E316" s="20" t="str">
        <x:f>_xlfn.IFNA(VLOOKUP(_xlfn.CONCAT("T",E$1,"V",$D316,"A",$A316),Vulnerabilities!$G:$G,1,FALSE),"")</x:f>
      </x:c>
      <x:c r="F316" s="20" t="str">
        <x:f>_xlfn.IFNA(VLOOKUP(_xlfn.CONCAT("T",F$1,"V",$D316,"A",$A316),Vulnerabilities!$G:$G,1,FALSE),"")</x:f>
      </x:c>
      <x:c r="G316" s="20" t="str">
        <x:f>_xlfn.IFNA(VLOOKUP(_xlfn.CONCAT("T",G$1,"V",$D316,"A",$A316),Vulnerabilities!$G:$G,1,FALSE),"")</x:f>
      </x:c>
      <x:c r="H316" s="20" t="str">
        <x:f>_xlfn.IFNA(VLOOKUP(_xlfn.CONCAT("T",H$1,"V",$D316,"A",$A316),Vulnerabilities!$G:$G,1,FALSE),"")</x:f>
      </x:c>
      <x:c r="I316" s="20" t="str">
        <x:f>_xlfn.IFNA(VLOOKUP(_xlfn.CONCAT("T",I$1,"V",$D316,"A",$A316),Vulnerabilities!$G:$G,1,FALSE),"")</x:f>
      </x:c>
      <x:c r="J316" s="20" t="str">
        <x:f>_xlfn.IFNA(VLOOKUP(_xlfn.CONCAT("T",J$1,"V",$D316,"A",$A316),Vulnerabilities!$G:$G,1,FALSE),"")</x:f>
      </x:c>
      <x:c r="K316" s="20" t="str">
        <x:f>_xlfn.IFNA(VLOOKUP(_xlfn.CONCAT("T",K$1,"V",$D316,"A",$A316),Vulnerabilities!$G:$G,1,FALSE),"")</x:f>
      </x:c>
      <x:c r="L316" s="20" t="str">
        <x:f>_xlfn.IFNA(VLOOKUP(_xlfn.CONCAT("T",L$1,"V",$D316,"A",$A316),Vulnerabilities!$G:$G,1,FALSE),"")</x:f>
      </x:c>
      <x:c r="M316" s="20" t="str">
        <x:f>_xlfn.IFNA(VLOOKUP(_xlfn.CONCAT("T",M$1,"V",$D316,"A",$A316),Vulnerabilities!$G:$G,1,FALSE),"")</x:f>
      </x:c>
      <x:c r="N316" s="20" t="str">
        <x:f>_xlfn.IFNA(VLOOKUP(_xlfn.CONCAT("T",N$1,"V",$D316,"A",$A316),Vulnerabilities!$G:$G,1,FALSE),"")</x:f>
      </x:c>
      <x:c r="O316" s="20" t="str">
        <x:f>_xlfn.IFNA(VLOOKUP(_xlfn.CONCAT("T",O$1,"V",$D316,"A",$A316),Vulnerabilities!$G:$G,1,FALSE),"")</x:f>
      </x:c>
      <x:c r="P316" s="16" t="str">
        <x:f>_xlfn.IFNA(VLOOKUP(_xlfn.CONCAT("T",P$1,"V",$D316,"A",$A316),Vulnerabilities!$G:$G,1,FALSE),"")</x:f>
      </x:c>
    </x:row>
    <x:row r="317">
      <x:c r="A317" s="1">
        <x:f t="shared" si="5"/>
        <x:v>79</x:v>
      </x:c>
      <x:c r="B317" t="str">
        <x:f>IF(VLOOKUP($A317,Assets!$A:$C,2,FALSE)=0,"",VLOOKUP($A317,Assets!$A:$C,2,FALSE))</x:f>
      </x:c>
      <x:c r="C317" t="str">
        <x:f>IF(VLOOKUP($A317,Assets!$A:$C,3,FALSE)=0,"",VLOOKUP($A317,Assets!$A:$C,3,FALSE))</x:f>
      </x:c>
      <x:c r="D317" s="16">
        <x:v>3</x:v>
      </x:c>
      <x:c r="E317" s="20" t="str">
        <x:f>_xlfn.IFNA(VLOOKUP(_xlfn.CONCAT("T",E$1,"V",$D317,"A",$A317),Vulnerabilities!$G:$G,1,FALSE),"")</x:f>
      </x:c>
      <x:c r="F317" s="20" t="str">
        <x:f>_xlfn.IFNA(VLOOKUP(_xlfn.CONCAT("T",F$1,"V",$D317,"A",$A317),Vulnerabilities!$G:$G,1,FALSE),"")</x:f>
      </x:c>
      <x:c r="G317" s="20" t="str">
        <x:f>_xlfn.IFNA(VLOOKUP(_xlfn.CONCAT("T",G$1,"V",$D317,"A",$A317),Vulnerabilities!$G:$G,1,FALSE),"")</x:f>
      </x:c>
      <x:c r="H317" s="20" t="str">
        <x:f>_xlfn.IFNA(VLOOKUP(_xlfn.CONCAT("T",H$1,"V",$D317,"A",$A317),Vulnerabilities!$G:$G,1,FALSE),"")</x:f>
      </x:c>
      <x:c r="I317" s="20" t="str">
        <x:f>_xlfn.IFNA(VLOOKUP(_xlfn.CONCAT("T",I$1,"V",$D317,"A",$A317),Vulnerabilities!$G:$G,1,FALSE),"")</x:f>
      </x:c>
      <x:c r="J317" s="20" t="str">
        <x:f>_xlfn.IFNA(VLOOKUP(_xlfn.CONCAT("T",J$1,"V",$D317,"A",$A317),Vulnerabilities!$G:$G,1,FALSE),"")</x:f>
      </x:c>
      <x:c r="K317" s="20" t="str">
        <x:f>_xlfn.IFNA(VLOOKUP(_xlfn.CONCAT("T",K$1,"V",$D317,"A",$A317),Vulnerabilities!$G:$G,1,FALSE),"")</x:f>
      </x:c>
      <x:c r="L317" s="20" t="str">
        <x:f>_xlfn.IFNA(VLOOKUP(_xlfn.CONCAT("T",L$1,"V",$D317,"A",$A317),Vulnerabilities!$G:$G,1,FALSE),"")</x:f>
      </x:c>
      <x:c r="M317" s="20" t="str">
        <x:f>_xlfn.IFNA(VLOOKUP(_xlfn.CONCAT("T",M$1,"V",$D317,"A",$A317),Vulnerabilities!$G:$G,1,FALSE),"")</x:f>
      </x:c>
      <x:c r="N317" s="20" t="str">
        <x:f>_xlfn.IFNA(VLOOKUP(_xlfn.CONCAT("T",N$1,"V",$D317,"A",$A317),Vulnerabilities!$G:$G,1,FALSE),"")</x:f>
      </x:c>
      <x:c r="O317" s="20" t="str">
        <x:f>_xlfn.IFNA(VLOOKUP(_xlfn.CONCAT("T",O$1,"V",$D317,"A",$A317),Vulnerabilities!$G:$G,1,FALSE),"")</x:f>
      </x:c>
      <x:c r="P317" s="16" t="str">
        <x:f>_xlfn.IFNA(VLOOKUP(_xlfn.CONCAT("T",P$1,"V",$D317,"A",$A317),Vulnerabilities!$G:$G,1,FALSE),"")</x:f>
      </x:c>
    </x:row>
    <x:row r="318">
      <x:c r="A318" s="11">
        <x:f t="shared" si="5"/>
        <x:v>79</x:v>
      </x:c>
      <x:c r="B318" s="12" t="str">
        <x:f>IF(VLOOKUP($A318,Assets!$A:$C,2,FALSE)=0,"",VLOOKUP($A318,Assets!$A:$C,2,FALSE))</x:f>
      </x:c>
      <x:c r="C318" s="12" t="str">
        <x:f>IF(VLOOKUP($A318,Assets!$A:$C,3,FALSE)=0,"",VLOOKUP($A318,Assets!$A:$C,3,FALSE))</x:f>
      </x:c>
      <x:c r="D318" s="17">
        <x:v>4</x:v>
      </x:c>
      <x:c r="E318" s="21" t="str">
        <x:f>_xlfn.IFNA(VLOOKUP(_xlfn.CONCAT("T",E$1,"V",$D318,"A",$A318),Vulnerabilities!$G:$G,1,FALSE),"")</x:f>
      </x:c>
      <x:c r="F318" s="21" t="str">
        <x:f>_xlfn.IFNA(VLOOKUP(_xlfn.CONCAT("T",F$1,"V",$D318,"A",$A318),Vulnerabilities!$G:$G,1,FALSE),"")</x:f>
      </x:c>
      <x:c r="G318" s="21" t="str">
        <x:f>_xlfn.IFNA(VLOOKUP(_xlfn.CONCAT("T",G$1,"V",$D318,"A",$A318),Vulnerabilities!$G:$G,1,FALSE),"")</x:f>
      </x:c>
      <x:c r="H318" s="21" t="str">
        <x:f>_xlfn.IFNA(VLOOKUP(_xlfn.CONCAT("T",H$1,"V",$D318,"A",$A318),Vulnerabilities!$G:$G,1,FALSE),"")</x:f>
      </x:c>
      <x:c r="I318" s="21" t="str">
        <x:f>_xlfn.IFNA(VLOOKUP(_xlfn.CONCAT("T",I$1,"V",$D318,"A",$A318),Vulnerabilities!$G:$G,1,FALSE),"")</x:f>
      </x:c>
      <x:c r="J318" s="21" t="str">
        <x:f>_xlfn.IFNA(VLOOKUP(_xlfn.CONCAT("T",J$1,"V",$D318,"A",$A318),Vulnerabilities!$G:$G,1,FALSE),"")</x:f>
      </x:c>
      <x:c r="K318" s="21" t="str">
        <x:f>_xlfn.IFNA(VLOOKUP(_xlfn.CONCAT("T",K$1,"V",$D318,"A",$A318),Vulnerabilities!$G:$G,1,FALSE),"")</x:f>
      </x:c>
      <x:c r="L318" s="21" t="str">
        <x:f>_xlfn.IFNA(VLOOKUP(_xlfn.CONCAT("T",L$1,"V",$D318,"A",$A318),Vulnerabilities!$G:$G,1,FALSE),"")</x:f>
      </x:c>
      <x:c r="M318" s="21" t="str">
        <x:f>_xlfn.IFNA(VLOOKUP(_xlfn.CONCAT("T",M$1,"V",$D318,"A",$A318),Vulnerabilities!$G:$G,1,FALSE),"")</x:f>
      </x:c>
      <x:c r="N318" s="21" t="str">
        <x:f>_xlfn.IFNA(VLOOKUP(_xlfn.CONCAT("T",N$1,"V",$D318,"A",$A318),Vulnerabilities!$G:$G,1,FALSE),"")</x:f>
      </x:c>
      <x:c r="O318" s="21" t="str">
        <x:f>_xlfn.IFNA(VLOOKUP(_xlfn.CONCAT("T",O$1,"V",$D318,"A",$A318),Vulnerabilities!$G:$G,1,FALSE),"")</x:f>
      </x:c>
      <x:c r="P318" s="17" t="str">
        <x:f>_xlfn.IFNA(VLOOKUP(_xlfn.CONCAT("T",P$1,"V",$D318,"A",$A318),Vulnerabilities!$G:$G,1,FALSE),"")</x:f>
      </x:c>
    </x:row>
    <x:row r="319">
      <x:c r="A319" s="1">
        <x:f t="shared" si="5"/>
        <x:v>80</x:v>
      </x:c>
      <x:c r="B319" t="str">
        <x:f>IF(VLOOKUP($A319,Assets!$A:$C,2,FALSE)=0,"",VLOOKUP($A319,Assets!$A:$C,2,FALSE))</x:f>
      </x:c>
      <x:c r="C319" t="str">
        <x:f>IF(VLOOKUP($A319,Assets!$A:$C,3,FALSE)=0,"",VLOOKUP($A319,Assets!$A:$C,3,FALSE))</x:f>
      </x:c>
      <x:c r="D319" s="16">
        <x:v>1</x:v>
      </x:c>
      <x:c r="E319" s="20" t="str">
        <x:f>_xlfn.IFNA(VLOOKUP(_xlfn.CONCAT("T",E$1,"V",$D319,"A",$A319),Vulnerabilities!$G:$G,1,FALSE),"")</x:f>
      </x:c>
      <x:c r="F319" s="20" t="str">
        <x:f>_xlfn.IFNA(VLOOKUP(_xlfn.CONCAT("T",F$1,"V",$D319,"A",$A319),Vulnerabilities!$G:$G,1,FALSE),"")</x:f>
      </x:c>
      <x:c r="G319" s="20" t="str">
        <x:f>_xlfn.IFNA(VLOOKUP(_xlfn.CONCAT("T",G$1,"V",$D319,"A",$A319),Vulnerabilities!$G:$G,1,FALSE),"")</x:f>
      </x:c>
      <x:c r="H319" s="20" t="str">
        <x:f>_xlfn.IFNA(VLOOKUP(_xlfn.CONCAT("T",H$1,"V",$D319,"A",$A319),Vulnerabilities!$G:$G,1,FALSE),"")</x:f>
      </x:c>
      <x:c r="I319" s="20" t="str">
        <x:f>_xlfn.IFNA(VLOOKUP(_xlfn.CONCAT("T",I$1,"V",$D319,"A",$A319),Vulnerabilities!$G:$G,1,FALSE),"")</x:f>
      </x:c>
      <x:c r="J319" s="20" t="str">
        <x:f>_xlfn.IFNA(VLOOKUP(_xlfn.CONCAT("T",J$1,"V",$D319,"A",$A319),Vulnerabilities!$G:$G,1,FALSE),"")</x:f>
      </x:c>
      <x:c r="K319" s="20" t="str">
        <x:f>_xlfn.IFNA(VLOOKUP(_xlfn.CONCAT("T",K$1,"V",$D319,"A",$A319),Vulnerabilities!$G:$G,1,FALSE),"")</x:f>
      </x:c>
      <x:c r="L319" s="20" t="str">
        <x:f>_xlfn.IFNA(VLOOKUP(_xlfn.CONCAT("T",L$1,"V",$D319,"A",$A319),Vulnerabilities!$G:$G,1,FALSE),"")</x:f>
      </x:c>
      <x:c r="M319" s="20" t="str">
        <x:f>_xlfn.IFNA(VLOOKUP(_xlfn.CONCAT("T",M$1,"V",$D319,"A",$A319),Vulnerabilities!$G:$G,1,FALSE),"")</x:f>
      </x:c>
      <x:c r="N319" s="20" t="str">
        <x:f>_xlfn.IFNA(VLOOKUP(_xlfn.CONCAT("T",N$1,"V",$D319,"A",$A319),Vulnerabilities!$G:$G,1,FALSE),"")</x:f>
      </x:c>
      <x:c r="O319" s="20" t="str">
        <x:f>_xlfn.IFNA(VLOOKUP(_xlfn.CONCAT("T",O$1,"V",$D319,"A",$A319),Vulnerabilities!$G:$G,1,FALSE),"")</x:f>
      </x:c>
      <x:c r="P319" s="16" t="str">
        <x:f>_xlfn.IFNA(VLOOKUP(_xlfn.CONCAT("T",P$1,"V",$D319,"A",$A319),Vulnerabilities!$G:$G,1,FALSE),"")</x:f>
      </x:c>
    </x:row>
    <x:row r="320">
      <x:c r="A320" s="1">
        <x:f t="shared" si="5"/>
        <x:v>80</x:v>
      </x:c>
      <x:c r="B320" t="str">
        <x:f>IF(VLOOKUP($A320,Assets!$A:$C,2,FALSE)=0,"",VLOOKUP($A320,Assets!$A:$C,2,FALSE))</x:f>
      </x:c>
      <x:c r="C320" t="str">
        <x:f>IF(VLOOKUP($A320,Assets!$A:$C,3,FALSE)=0,"",VLOOKUP($A320,Assets!$A:$C,3,FALSE))</x:f>
      </x:c>
      <x:c r="D320" s="16">
        <x:v>2</x:v>
      </x:c>
      <x:c r="E320" s="20" t="str">
        <x:f>_xlfn.IFNA(VLOOKUP(_xlfn.CONCAT("T",E$1,"V",$D320,"A",$A320),Vulnerabilities!$G:$G,1,FALSE),"")</x:f>
      </x:c>
      <x:c r="F320" s="20" t="str">
        <x:f>_xlfn.IFNA(VLOOKUP(_xlfn.CONCAT("T",F$1,"V",$D320,"A",$A320),Vulnerabilities!$G:$G,1,FALSE),"")</x:f>
      </x:c>
      <x:c r="G320" s="20" t="str">
        <x:f>_xlfn.IFNA(VLOOKUP(_xlfn.CONCAT("T",G$1,"V",$D320,"A",$A320),Vulnerabilities!$G:$G,1,FALSE),"")</x:f>
      </x:c>
      <x:c r="H320" s="20" t="str">
        <x:f>_xlfn.IFNA(VLOOKUP(_xlfn.CONCAT("T",H$1,"V",$D320,"A",$A320),Vulnerabilities!$G:$G,1,FALSE),"")</x:f>
      </x:c>
      <x:c r="I320" s="20" t="str">
        <x:f>_xlfn.IFNA(VLOOKUP(_xlfn.CONCAT("T",I$1,"V",$D320,"A",$A320),Vulnerabilities!$G:$G,1,FALSE),"")</x:f>
      </x:c>
      <x:c r="J320" s="20" t="str">
        <x:f>_xlfn.IFNA(VLOOKUP(_xlfn.CONCAT("T",J$1,"V",$D320,"A",$A320),Vulnerabilities!$G:$G,1,FALSE),"")</x:f>
      </x:c>
      <x:c r="K320" s="20" t="str">
        <x:f>_xlfn.IFNA(VLOOKUP(_xlfn.CONCAT("T",K$1,"V",$D320,"A",$A320),Vulnerabilities!$G:$G,1,FALSE),"")</x:f>
      </x:c>
      <x:c r="L320" s="20" t="str">
        <x:f>_xlfn.IFNA(VLOOKUP(_xlfn.CONCAT("T",L$1,"V",$D320,"A",$A320),Vulnerabilities!$G:$G,1,FALSE),"")</x:f>
      </x:c>
      <x:c r="M320" s="20" t="str">
        <x:f>_xlfn.IFNA(VLOOKUP(_xlfn.CONCAT("T",M$1,"V",$D320,"A",$A320),Vulnerabilities!$G:$G,1,FALSE),"")</x:f>
      </x:c>
      <x:c r="N320" s="20" t="str">
        <x:f>_xlfn.IFNA(VLOOKUP(_xlfn.CONCAT("T",N$1,"V",$D320,"A",$A320),Vulnerabilities!$G:$G,1,FALSE),"")</x:f>
      </x:c>
      <x:c r="O320" s="20" t="str">
        <x:f>_xlfn.IFNA(VLOOKUP(_xlfn.CONCAT("T",O$1,"V",$D320,"A",$A320),Vulnerabilities!$G:$G,1,FALSE),"")</x:f>
      </x:c>
      <x:c r="P320" s="16" t="str">
        <x:f>_xlfn.IFNA(VLOOKUP(_xlfn.CONCAT("T",P$1,"V",$D320,"A",$A320),Vulnerabilities!$G:$G,1,FALSE),"")</x:f>
      </x:c>
    </x:row>
    <x:row r="321">
      <x:c r="A321" s="1">
        <x:f t="shared" si="5"/>
        <x:v>80</x:v>
      </x:c>
      <x:c r="B321" t="str">
        <x:f>IF(VLOOKUP($A321,Assets!$A:$C,2,FALSE)=0,"",VLOOKUP($A321,Assets!$A:$C,2,FALSE))</x:f>
      </x:c>
      <x:c r="C321" t="str">
        <x:f>IF(VLOOKUP($A321,Assets!$A:$C,3,FALSE)=0,"",VLOOKUP($A321,Assets!$A:$C,3,FALSE))</x:f>
      </x:c>
      <x:c r="D321" s="16">
        <x:v>3</x:v>
      </x:c>
      <x:c r="E321" s="20" t="str">
        <x:f>_xlfn.IFNA(VLOOKUP(_xlfn.CONCAT("T",E$1,"V",$D321,"A",$A321),Vulnerabilities!$G:$G,1,FALSE),"")</x:f>
      </x:c>
      <x:c r="F321" s="20" t="str">
        <x:f>_xlfn.IFNA(VLOOKUP(_xlfn.CONCAT("T",F$1,"V",$D321,"A",$A321),Vulnerabilities!$G:$G,1,FALSE),"")</x:f>
      </x:c>
      <x:c r="G321" s="20" t="str">
        <x:f>_xlfn.IFNA(VLOOKUP(_xlfn.CONCAT("T",G$1,"V",$D321,"A",$A321),Vulnerabilities!$G:$G,1,FALSE),"")</x:f>
      </x:c>
      <x:c r="H321" s="20" t="str">
        <x:f>_xlfn.IFNA(VLOOKUP(_xlfn.CONCAT("T",H$1,"V",$D321,"A",$A321),Vulnerabilities!$G:$G,1,FALSE),"")</x:f>
      </x:c>
      <x:c r="I321" s="20" t="str">
        <x:f>_xlfn.IFNA(VLOOKUP(_xlfn.CONCAT("T",I$1,"V",$D321,"A",$A321),Vulnerabilities!$G:$G,1,FALSE),"")</x:f>
      </x:c>
      <x:c r="J321" s="20" t="str">
        <x:f>_xlfn.IFNA(VLOOKUP(_xlfn.CONCAT("T",J$1,"V",$D321,"A",$A321),Vulnerabilities!$G:$G,1,FALSE),"")</x:f>
      </x:c>
      <x:c r="K321" s="20" t="str">
        <x:f>_xlfn.IFNA(VLOOKUP(_xlfn.CONCAT("T",K$1,"V",$D321,"A",$A321),Vulnerabilities!$G:$G,1,FALSE),"")</x:f>
      </x:c>
      <x:c r="L321" s="20" t="str">
        <x:f>_xlfn.IFNA(VLOOKUP(_xlfn.CONCAT("T",L$1,"V",$D321,"A",$A321),Vulnerabilities!$G:$G,1,FALSE),"")</x:f>
      </x:c>
      <x:c r="M321" s="20" t="str">
        <x:f>_xlfn.IFNA(VLOOKUP(_xlfn.CONCAT("T",M$1,"V",$D321,"A",$A321),Vulnerabilities!$G:$G,1,FALSE),"")</x:f>
      </x:c>
      <x:c r="N321" s="20" t="str">
        <x:f>_xlfn.IFNA(VLOOKUP(_xlfn.CONCAT("T",N$1,"V",$D321,"A",$A321),Vulnerabilities!$G:$G,1,FALSE),"")</x:f>
      </x:c>
      <x:c r="O321" s="20" t="str">
        <x:f>_xlfn.IFNA(VLOOKUP(_xlfn.CONCAT("T",O$1,"V",$D321,"A",$A321),Vulnerabilities!$G:$G,1,FALSE),"")</x:f>
      </x:c>
      <x:c r="P321" s="16" t="str">
        <x:f>_xlfn.IFNA(VLOOKUP(_xlfn.CONCAT("T",P$1,"V",$D321,"A",$A321),Vulnerabilities!$G:$G,1,FALSE),"")</x:f>
      </x:c>
    </x:row>
    <x:row r="322">
      <x:c r="A322" s="11">
        <x:f t="shared" si="5"/>
        <x:v>80</x:v>
      </x:c>
      <x:c r="B322" s="12" t="str">
        <x:f>IF(VLOOKUP($A322,Assets!$A:$C,2,FALSE)=0,"",VLOOKUP($A322,Assets!$A:$C,2,FALSE))</x:f>
      </x:c>
      <x:c r="C322" s="12" t="str">
        <x:f>IF(VLOOKUP($A322,Assets!$A:$C,3,FALSE)=0,"",VLOOKUP($A322,Assets!$A:$C,3,FALSE))</x:f>
      </x:c>
      <x:c r="D322" s="17">
        <x:v>4</x:v>
      </x:c>
      <x:c r="E322" s="21" t="str">
        <x:f>_xlfn.IFNA(VLOOKUP(_xlfn.CONCAT("T",E$1,"V",$D322,"A",$A322),Vulnerabilities!$G:$G,1,FALSE),"")</x:f>
      </x:c>
      <x:c r="F322" s="21" t="str">
        <x:f>_xlfn.IFNA(VLOOKUP(_xlfn.CONCAT("T",F$1,"V",$D322,"A",$A322),Vulnerabilities!$G:$G,1,FALSE),"")</x:f>
      </x:c>
      <x:c r="G322" s="21" t="str">
        <x:f>_xlfn.IFNA(VLOOKUP(_xlfn.CONCAT("T",G$1,"V",$D322,"A",$A322),Vulnerabilities!$G:$G,1,FALSE),"")</x:f>
      </x:c>
      <x:c r="H322" s="21" t="str">
        <x:f>_xlfn.IFNA(VLOOKUP(_xlfn.CONCAT("T",H$1,"V",$D322,"A",$A322),Vulnerabilities!$G:$G,1,FALSE),"")</x:f>
      </x:c>
      <x:c r="I322" s="21" t="str">
        <x:f>_xlfn.IFNA(VLOOKUP(_xlfn.CONCAT("T",I$1,"V",$D322,"A",$A322),Vulnerabilities!$G:$G,1,FALSE),"")</x:f>
      </x:c>
      <x:c r="J322" s="21" t="str">
        <x:f>_xlfn.IFNA(VLOOKUP(_xlfn.CONCAT("T",J$1,"V",$D322,"A",$A322),Vulnerabilities!$G:$G,1,FALSE),"")</x:f>
      </x:c>
      <x:c r="K322" s="21" t="str">
        <x:f>_xlfn.IFNA(VLOOKUP(_xlfn.CONCAT("T",K$1,"V",$D322,"A",$A322),Vulnerabilities!$G:$G,1,FALSE),"")</x:f>
      </x:c>
      <x:c r="L322" s="21" t="str">
        <x:f>_xlfn.IFNA(VLOOKUP(_xlfn.CONCAT("T",L$1,"V",$D322,"A",$A322),Vulnerabilities!$G:$G,1,FALSE),"")</x:f>
      </x:c>
      <x:c r="M322" s="21" t="str">
        <x:f>_xlfn.IFNA(VLOOKUP(_xlfn.CONCAT("T",M$1,"V",$D322,"A",$A322),Vulnerabilities!$G:$G,1,FALSE),"")</x:f>
      </x:c>
      <x:c r="N322" s="21" t="str">
        <x:f>_xlfn.IFNA(VLOOKUP(_xlfn.CONCAT("T",N$1,"V",$D322,"A",$A322),Vulnerabilities!$G:$G,1,FALSE),"")</x:f>
      </x:c>
      <x:c r="O322" s="21" t="str">
        <x:f>_xlfn.IFNA(VLOOKUP(_xlfn.CONCAT("T",O$1,"V",$D322,"A",$A322),Vulnerabilities!$G:$G,1,FALSE),"")</x:f>
      </x:c>
      <x:c r="P322" s="17" t="str">
        <x:f>_xlfn.IFNA(VLOOKUP(_xlfn.CONCAT("T",P$1,"V",$D322,"A",$A322),Vulnerabilities!$G:$G,1,FALSE),"")</x:f>
      </x:c>
    </x:row>
    <x:row r="323">
      <x:c r="A323" s="1">
        <x:f t="shared" si="5"/>
        <x:v>81</x:v>
      </x:c>
      <x:c r="B323" t="str">
        <x:f>IF(VLOOKUP($A323,Assets!$A:$C,2,FALSE)=0,"",VLOOKUP($A323,Assets!$A:$C,2,FALSE))</x:f>
      </x:c>
      <x:c r="C323" t="str">
        <x:f>IF(VLOOKUP($A323,Assets!$A:$C,3,FALSE)=0,"",VLOOKUP($A323,Assets!$A:$C,3,FALSE))</x:f>
      </x:c>
      <x:c r="D323" s="16">
        <x:v>1</x:v>
      </x:c>
      <x:c r="E323" s="20" t="str">
        <x:f>_xlfn.IFNA(VLOOKUP(_xlfn.CONCAT("T",E$1,"V",$D323,"A",$A323),Vulnerabilities!$G:$G,1,FALSE),"")</x:f>
      </x:c>
      <x:c r="F323" s="20" t="str">
        <x:f>_xlfn.IFNA(VLOOKUP(_xlfn.CONCAT("T",F$1,"V",$D323,"A",$A323),Vulnerabilities!$G:$G,1,FALSE),"")</x:f>
      </x:c>
      <x:c r="G323" s="20" t="str">
        <x:f>_xlfn.IFNA(VLOOKUP(_xlfn.CONCAT("T",G$1,"V",$D323,"A",$A323),Vulnerabilities!$G:$G,1,FALSE),"")</x:f>
      </x:c>
      <x:c r="H323" s="20" t="str">
        <x:f>_xlfn.IFNA(VLOOKUP(_xlfn.CONCAT("T",H$1,"V",$D323,"A",$A323),Vulnerabilities!$G:$G,1,FALSE),"")</x:f>
      </x:c>
      <x:c r="I323" s="20" t="str">
        <x:f>_xlfn.IFNA(VLOOKUP(_xlfn.CONCAT("T",I$1,"V",$D323,"A",$A323),Vulnerabilities!$G:$G,1,FALSE),"")</x:f>
      </x:c>
      <x:c r="J323" s="20" t="str">
        <x:f>_xlfn.IFNA(VLOOKUP(_xlfn.CONCAT("T",J$1,"V",$D323,"A",$A323),Vulnerabilities!$G:$G,1,FALSE),"")</x:f>
      </x:c>
      <x:c r="K323" s="20" t="str">
        <x:f>_xlfn.IFNA(VLOOKUP(_xlfn.CONCAT("T",K$1,"V",$D323,"A",$A323),Vulnerabilities!$G:$G,1,FALSE),"")</x:f>
      </x:c>
      <x:c r="L323" s="20" t="str">
        <x:f>_xlfn.IFNA(VLOOKUP(_xlfn.CONCAT("T",L$1,"V",$D323,"A",$A323),Vulnerabilities!$G:$G,1,FALSE),"")</x:f>
      </x:c>
      <x:c r="M323" s="20" t="str">
        <x:f>_xlfn.IFNA(VLOOKUP(_xlfn.CONCAT("T",M$1,"V",$D323,"A",$A323),Vulnerabilities!$G:$G,1,FALSE),"")</x:f>
      </x:c>
      <x:c r="N323" s="20" t="str">
        <x:f>_xlfn.IFNA(VLOOKUP(_xlfn.CONCAT("T",N$1,"V",$D323,"A",$A323),Vulnerabilities!$G:$G,1,FALSE),"")</x:f>
      </x:c>
      <x:c r="O323" s="20" t="str">
        <x:f>_xlfn.IFNA(VLOOKUP(_xlfn.CONCAT("T",O$1,"V",$D323,"A",$A323),Vulnerabilities!$G:$G,1,FALSE),"")</x:f>
      </x:c>
      <x:c r="P323" s="16" t="str">
        <x:f>_xlfn.IFNA(VLOOKUP(_xlfn.CONCAT("T",P$1,"V",$D323,"A",$A323),Vulnerabilities!$G:$G,1,FALSE),"")</x:f>
      </x:c>
    </x:row>
    <x:row r="324">
      <x:c r="A324" s="1">
        <x:f t="shared" si="5"/>
        <x:v>81</x:v>
      </x:c>
      <x:c r="B324" t="str">
        <x:f>IF(VLOOKUP($A324,Assets!$A:$C,2,FALSE)=0,"",VLOOKUP($A324,Assets!$A:$C,2,FALSE))</x:f>
      </x:c>
      <x:c r="C324" t="str">
        <x:f>IF(VLOOKUP($A324,Assets!$A:$C,3,FALSE)=0,"",VLOOKUP($A324,Assets!$A:$C,3,FALSE))</x:f>
      </x:c>
      <x:c r="D324" s="16">
        <x:v>2</x:v>
      </x:c>
      <x:c r="E324" s="20" t="str">
        <x:f>_xlfn.IFNA(VLOOKUP(_xlfn.CONCAT("T",E$1,"V",$D324,"A",$A324),Vulnerabilities!$G:$G,1,FALSE),"")</x:f>
      </x:c>
      <x:c r="F324" s="20" t="str">
        <x:f>_xlfn.IFNA(VLOOKUP(_xlfn.CONCAT("T",F$1,"V",$D324,"A",$A324),Vulnerabilities!$G:$G,1,FALSE),"")</x:f>
      </x:c>
      <x:c r="G324" s="20" t="str">
        <x:f>_xlfn.IFNA(VLOOKUP(_xlfn.CONCAT("T",G$1,"V",$D324,"A",$A324),Vulnerabilities!$G:$G,1,FALSE),"")</x:f>
      </x:c>
      <x:c r="H324" s="20" t="str">
        <x:f>_xlfn.IFNA(VLOOKUP(_xlfn.CONCAT("T",H$1,"V",$D324,"A",$A324),Vulnerabilities!$G:$G,1,FALSE),"")</x:f>
      </x:c>
      <x:c r="I324" s="20" t="str">
        <x:f>_xlfn.IFNA(VLOOKUP(_xlfn.CONCAT("T",I$1,"V",$D324,"A",$A324),Vulnerabilities!$G:$G,1,FALSE),"")</x:f>
      </x:c>
      <x:c r="J324" s="20" t="str">
        <x:f>_xlfn.IFNA(VLOOKUP(_xlfn.CONCAT("T",J$1,"V",$D324,"A",$A324),Vulnerabilities!$G:$G,1,FALSE),"")</x:f>
      </x:c>
      <x:c r="K324" s="20" t="str">
        <x:f>_xlfn.IFNA(VLOOKUP(_xlfn.CONCAT("T",K$1,"V",$D324,"A",$A324),Vulnerabilities!$G:$G,1,FALSE),"")</x:f>
      </x:c>
      <x:c r="L324" s="20" t="str">
        <x:f>_xlfn.IFNA(VLOOKUP(_xlfn.CONCAT("T",L$1,"V",$D324,"A",$A324),Vulnerabilities!$G:$G,1,FALSE),"")</x:f>
      </x:c>
      <x:c r="M324" s="20" t="str">
        <x:f>_xlfn.IFNA(VLOOKUP(_xlfn.CONCAT("T",M$1,"V",$D324,"A",$A324),Vulnerabilities!$G:$G,1,FALSE),"")</x:f>
      </x:c>
      <x:c r="N324" s="20" t="str">
        <x:f>_xlfn.IFNA(VLOOKUP(_xlfn.CONCAT("T",N$1,"V",$D324,"A",$A324),Vulnerabilities!$G:$G,1,FALSE),"")</x:f>
      </x:c>
      <x:c r="O324" s="20" t="str">
        <x:f>_xlfn.IFNA(VLOOKUP(_xlfn.CONCAT("T",O$1,"V",$D324,"A",$A324),Vulnerabilities!$G:$G,1,FALSE),"")</x:f>
      </x:c>
      <x:c r="P324" s="16" t="str">
        <x:f>_xlfn.IFNA(VLOOKUP(_xlfn.CONCAT("T",P$1,"V",$D324,"A",$A324),Vulnerabilities!$G:$G,1,FALSE),"")</x:f>
      </x:c>
    </x:row>
    <x:row r="325">
      <x:c r="A325" s="1">
        <x:f t="shared" si="5"/>
        <x:v>81</x:v>
      </x:c>
      <x:c r="B325" t="str">
        <x:f>IF(VLOOKUP($A325,Assets!$A:$C,2,FALSE)=0,"",VLOOKUP($A325,Assets!$A:$C,2,FALSE))</x:f>
      </x:c>
      <x:c r="C325" t="str">
        <x:f>IF(VLOOKUP($A325,Assets!$A:$C,3,FALSE)=0,"",VLOOKUP($A325,Assets!$A:$C,3,FALSE))</x:f>
      </x:c>
      <x:c r="D325" s="16">
        <x:v>3</x:v>
      </x:c>
      <x:c r="E325" s="20" t="str">
        <x:f>_xlfn.IFNA(VLOOKUP(_xlfn.CONCAT("T",E$1,"V",$D325,"A",$A325),Vulnerabilities!$G:$G,1,FALSE),"")</x:f>
      </x:c>
      <x:c r="F325" s="20" t="str">
        <x:f>_xlfn.IFNA(VLOOKUP(_xlfn.CONCAT("T",F$1,"V",$D325,"A",$A325),Vulnerabilities!$G:$G,1,FALSE),"")</x:f>
      </x:c>
      <x:c r="G325" s="20" t="str">
        <x:f>_xlfn.IFNA(VLOOKUP(_xlfn.CONCAT("T",G$1,"V",$D325,"A",$A325),Vulnerabilities!$G:$G,1,FALSE),"")</x:f>
      </x:c>
      <x:c r="H325" s="20" t="str">
        <x:f>_xlfn.IFNA(VLOOKUP(_xlfn.CONCAT("T",H$1,"V",$D325,"A",$A325),Vulnerabilities!$G:$G,1,FALSE),"")</x:f>
      </x:c>
      <x:c r="I325" s="20" t="str">
        <x:f>_xlfn.IFNA(VLOOKUP(_xlfn.CONCAT("T",I$1,"V",$D325,"A",$A325),Vulnerabilities!$G:$G,1,FALSE),"")</x:f>
      </x:c>
      <x:c r="J325" s="20" t="str">
        <x:f>_xlfn.IFNA(VLOOKUP(_xlfn.CONCAT("T",J$1,"V",$D325,"A",$A325),Vulnerabilities!$G:$G,1,FALSE),"")</x:f>
      </x:c>
      <x:c r="K325" s="20" t="str">
        <x:f>_xlfn.IFNA(VLOOKUP(_xlfn.CONCAT("T",K$1,"V",$D325,"A",$A325),Vulnerabilities!$G:$G,1,FALSE),"")</x:f>
      </x:c>
      <x:c r="L325" s="20" t="str">
        <x:f>_xlfn.IFNA(VLOOKUP(_xlfn.CONCAT("T",L$1,"V",$D325,"A",$A325),Vulnerabilities!$G:$G,1,FALSE),"")</x:f>
      </x:c>
      <x:c r="M325" s="20" t="str">
        <x:f>_xlfn.IFNA(VLOOKUP(_xlfn.CONCAT("T",M$1,"V",$D325,"A",$A325),Vulnerabilities!$G:$G,1,FALSE),"")</x:f>
      </x:c>
      <x:c r="N325" s="20" t="str">
        <x:f>_xlfn.IFNA(VLOOKUP(_xlfn.CONCAT("T",N$1,"V",$D325,"A",$A325),Vulnerabilities!$G:$G,1,FALSE),"")</x:f>
      </x:c>
      <x:c r="O325" s="20" t="str">
        <x:f>_xlfn.IFNA(VLOOKUP(_xlfn.CONCAT("T",O$1,"V",$D325,"A",$A325),Vulnerabilities!$G:$G,1,FALSE),"")</x:f>
      </x:c>
      <x:c r="P325" s="16" t="str">
        <x:f>_xlfn.IFNA(VLOOKUP(_xlfn.CONCAT("T",P$1,"V",$D325,"A",$A325),Vulnerabilities!$G:$G,1,FALSE),"")</x:f>
      </x:c>
    </x:row>
    <x:row r="326">
      <x:c r="A326" s="11">
        <x:f t="shared" si="5"/>
        <x:v>81</x:v>
      </x:c>
      <x:c r="B326" s="12" t="str">
        <x:f>IF(VLOOKUP($A326,Assets!$A:$C,2,FALSE)=0,"",VLOOKUP($A326,Assets!$A:$C,2,FALSE))</x:f>
      </x:c>
      <x:c r="C326" s="12" t="str">
        <x:f>IF(VLOOKUP($A326,Assets!$A:$C,3,FALSE)=0,"",VLOOKUP($A326,Assets!$A:$C,3,FALSE))</x:f>
      </x:c>
      <x:c r="D326" s="17">
        <x:v>4</x:v>
      </x:c>
      <x:c r="E326" s="21" t="str">
        <x:f>_xlfn.IFNA(VLOOKUP(_xlfn.CONCAT("T",E$1,"V",$D326,"A",$A326),Vulnerabilities!$G:$G,1,FALSE),"")</x:f>
      </x:c>
      <x:c r="F326" s="21" t="str">
        <x:f>_xlfn.IFNA(VLOOKUP(_xlfn.CONCAT("T",F$1,"V",$D326,"A",$A326),Vulnerabilities!$G:$G,1,FALSE),"")</x:f>
      </x:c>
      <x:c r="G326" s="21" t="str">
        <x:f>_xlfn.IFNA(VLOOKUP(_xlfn.CONCAT("T",G$1,"V",$D326,"A",$A326),Vulnerabilities!$G:$G,1,FALSE),"")</x:f>
      </x:c>
      <x:c r="H326" s="21" t="str">
        <x:f>_xlfn.IFNA(VLOOKUP(_xlfn.CONCAT("T",H$1,"V",$D326,"A",$A326),Vulnerabilities!$G:$G,1,FALSE),"")</x:f>
      </x:c>
      <x:c r="I326" s="21" t="str">
        <x:f>_xlfn.IFNA(VLOOKUP(_xlfn.CONCAT("T",I$1,"V",$D326,"A",$A326),Vulnerabilities!$G:$G,1,FALSE),"")</x:f>
      </x:c>
      <x:c r="J326" s="21" t="str">
        <x:f>_xlfn.IFNA(VLOOKUP(_xlfn.CONCAT("T",J$1,"V",$D326,"A",$A326),Vulnerabilities!$G:$G,1,FALSE),"")</x:f>
      </x:c>
      <x:c r="K326" s="21" t="str">
        <x:f>_xlfn.IFNA(VLOOKUP(_xlfn.CONCAT("T",K$1,"V",$D326,"A",$A326),Vulnerabilities!$G:$G,1,FALSE),"")</x:f>
      </x:c>
      <x:c r="L326" s="21" t="str">
        <x:f>_xlfn.IFNA(VLOOKUP(_xlfn.CONCAT("T",L$1,"V",$D326,"A",$A326),Vulnerabilities!$G:$G,1,FALSE),"")</x:f>
      </x:c>
      <x:c r="M326" s="21" t="str">
        <x:f>_xlfn.IFNA(VLOOKUP(_xlfn.CONCAT("T",M$1,"V",$D326,"A",$A326),Vulnerabilities!$G:$G,1,FALSE),"")</x:f>
      </x:c>
      <x:c r="N326" s="21" t="str">
        <x:f>_xlfn.IFNA(VLOOKUP(_xlfn.CONCAT("T",N$1,"V",$D326,"A",$A326),Vulnerabilities!$G:$G,1,FALSE),"")</x:f>
      </x:c>
      <x:c r="O326" s="21" t="str">
        <x:f>_xlfn.IFNA(VLOOKUP(_xlfn.CONCAT("T",O$1,"V",$D326,"A",$A326),Vulnerabilities!$G:$G,1,FALSE),"")</x:f>
      </x:c>
      <x:c r="P326" s="17" t="str">
        <x:f>_xlfn.IFNA(VLOOKUP(_xlfn.CONCAT("T",P$1,"V",$D326,"A",$A326),Vulnerabilities!$G:$G,1,FALSE),"")</x:f>
      </x:c>
    </x:row>
    <x:row r="327">
      <x:c r="A327" s="1">
        <x:f t="shared" si="5"/>
        <x:v>82</x:v>
      </x:c>
      <x:c r="B327" t="str">
        <x:f>IF(VLOOKUP($A327,Assets!$A:$C,2,FALSE)=0,"",VLOOKUP($A327,Assets!$A:$C,2,FALSE))</x:f>
      </x:c>
      <x:c r="C327" t="str">
        <x:f>IF(VLOOKUP($A327,Assets!$A:$C,3,FALSE)=0,"",VLOOKUP($A327,Assets!$A:$C,3,FALSE))</x:f>
      </x:c>
      <x:c r="D327" s="16">
        <x:v>1</x:v>
      </x:c>
      <x:c r="E327" s="20" t="str">
        <x:f>_xlfn.IFNA(VLOOKUP(_xlfn.CONCAT("T",E$1,"V",$D327,"A",$A327),Vulnerabilities!$G:$G,1,FALSE),"")</x:f>
      </x:c>
      <x:c r="F327" s="20" t="str">
        <x:f>_xlfn.IFNA(VLOOKUP(_xlfn.CONCAT("T",F$1,"V",$D327,"A",$A327),Vulnerabilities!$G:$G,1,FALSE),"")</x:f>
      </x:c>
      <x:c r="G327" s="20" t="str">
        <x:f>_xlfn.IFNA(VLOOKUP(_xlfn.CONCAT("T",G$1,"V",$D327,"A",$A327),Vulnerabilities!$G:$G,1,FALSE),"")</x:f>
      </x:c>
      <x:c r="H327" s="20" t="str">
        <x:f>_xlfn.IFNA(VLOOKUP(_xlfn.CONCAT("T",H$1,"V",$D327,"A",$A327),Vulnerabilities!$G:$G,1,FALSE),"")</x:f>
      </x:c>
      <x:c r="I327" s="20" t="str">
        <x:f>_xlfn.IFNA(VLOOKUP(_xlfn.CONCAT("T",I$1,"V",$D327,"A",$A327),Vulnerabilities!$G:$G,1,FALSE),"")</x:f>
      </x:c>
      <x:c r="J327" s="20" t="str">
        <x:f>_xlfn.IFNA(VLOOKUP(_xlfn.CONCAT("T",J$1,"V",$D327,"A",$A327),Vulnerabilities!$G:$G,1,FALSE),"")</x:f>
      </x:c>
      <x:c r="K327" s="20" t="str">
        <x:f>_xlfn.IFNA(VLOOKUP(_xlfn.CONCAT("T",K$1,"V",$D327,"A",$A327),Vulnerabilities!$G:$G,1,FALSE),"")</x:f>
      </x:c>
      <x:c r="L327" s="20" t="str">
        <x:f>_xlfn.IFNA(VLOOKUP(_xlfn.CONCAT("T",L$1,"V",$D327,"A",$A327),Vulnerabilities!$G:$G,1,FALSE),"")</x:f>
      </x:c>
      <x:c r="M327" s="20" t="str">
        <x:f>_xlfn.IFNA(VLOOKUP(_xlfn.CONCAT("T",M$1,"V",$D327,"A",$A327),Vulnerabilities!$G:$G,1,FALSE),"")</x:f>
      </x:c>
      <x:c r="N327" s="20" t="str">
        <x:f>_xlfn.IFNA(VLOOKUP(_xlfn.CONCAT("T",N$1,"V",$D327,"A",$A327),Vulnerabilities!$G:$G,1,FALSE),"")</x:f>
      </x:c>
      <x:c r="O327" s="20" t="str">
        <x:f>_xlfn.IFNA(VLOOKUP(_xlfn.CONCAT("T",O$1,"V",$D327,"A",$A327),Vulnerabilities!$G:$G,1,FALSE),"")</x:f>
      </x:c>
      <x:c r="P327" s="16" t="str">
        <x:f>_xlfn.IFNA(VLOOKUP(_xlfn.CONCAT("T",P$1,"V",$D327,"A",$A327),Vulnerabilities!$G:$G,1,FALSE),"")</x:f>
      </x:c>
    </x:row>
    <x:row r="328">
      <x:c r="A328" s="1">
        <x:f t="shared" si="5"/>
        <x:v>82</x:v>
      </x:c>
      <x:c r="B328" t="str">
        <x:f>IF(VLOOKUP($A328,Assets!$A:$C,2,FALSE)=0,"",VLOOKUP($A328,Assets!$A:$C,2,FALSE))</x:f>
      </x:c>
      <x:c r="C328" t="str">
        <x:f>IF(VLOOKUP($A328,Assets!$A:$C,3,FALSE)=0,"",VLOOKUP($A328,Assets!$A:$C,3,FALSE))</x:f>
      </x:c>
      <x:c r="D328" s="16">
        <x:v>2</x:v>
      </x:c>
      <x:c r="E328" s="20" t="str">
        <x:f>_xlfn.IFNA(VLOOKUP(_xlfn.CONCAT("T",E$1,"V",$D328,"A",$A328),Vulnerabilities!$G:$G,1,FALSE),"")</x:f>
      </x:c>
      <x:c r="F328" s="20" t="str">
        <x:f>_xlfn.IFNA(VLOOKUP(_xlfn.CONCAT("T",F$1,"V",$D328,"A",$A328),Vulnerabilities!$G:$G,1,FALSE),"")</x:f>
      </x:c>
      <x:c r="G328" s="20" t="str">
        <x:f>_xlfn.IFNA(VLOOKUP(_xlfn.CONCAT("T",G$1,"V",$D328,"A",$A328),Vulnerabilities!$G:$G,1,FALSE),"")</x:f>
      </x:c>
      <x:c r="H328" s="20" t="str">
        <x:f>_xlfn.IFNA(VLOOKUP(_xlfn.CONCAT("T",H$1,"V",$D328,"A",$A328),Vulnerabilities!$G:$G,1,FALSE),"")</x:f>
      </x:c>
      <x:c r="I328" s="20" t="str">
        <x:f>_xlfn.IFNA(VLOOKUP(_xlfn.CONCAT("T",I$1,"V",$D328,"A",$A328),Vulnerabilities!$G:$G,1,FALSE),"")</x:f>
      </x:c>
      <x:c r="J328" s="20" t="str">
        <x:f>_xlfn.IFNA(VLOOKUP(_xlfn.CONCAT("T",J$1,"V",$D328,"A",$A328),Vulnerabilities!$G:$G,1,FALSE),"")</x:f>
      </x:c>
      <x:c r="K328" s="20" t="str">
        <x:f>_xlfn.IFNA(VLOOKUP(_xlfn.CONCAT("T",K$1,"V",$D328,"A",$A328),Vulnerabilities!$G:$G,1,FALSE),"")</x:f>
      </x:c>
      <x:c r="L328" s="20" t="str">
        <x:f>_xlfn.IFNA(VLOOKUP(_xlfn.CONCAT("T",L$1,"V",$D328,"A",$A328),Vulnerabilities!$G:$G,1,FALSE),"")</x:f>
      </x:c>
      <x:c r="M328" s="20" t="str">
        <x:f>_xlfn.IFNA(VLOOKUP(_xlfn.CONCAT("T",M$1,"V",$D328,"A",$A328),Vulnerabilities!$G:$G,1,FALSE),"")</x:f>
      </x:c>
      <x:c r="N328" s="20" t="str">
        <x:f>_xlfn.IFNA(VLOOKUP(_xlfn.CONCAT("T",N$1,"V",$D328,"A",$A328),Vulnerabilities!$G:$G,1,FALSE),"")</x:f>
      </x:c>
      <x:c r="O328" s="20" t="str">
        <x:f>_xlfn.IFNA(VLOOKUP(_xlfn.CONCAT("T",O$1,"V",$D328,"A",$A328),Vulnerabilities!$G:$G,1,FALSE),"")</x:f>
      </x:c>
      <x:c r="P328" s="16" t="str">
        <x:f>_xlfn.IFNA(VLOOKUP(_xlfn.CONCAT("T",P$1,"V",$D328,"A",$A328),Vulnerabilities!$G:$G,1,FALSE),"")</x:f>
      </x:c>
    </x:row>
    <x:row r="329">
      <x:c r="A329" s="1">
        <x:f t="shared" si="5"/>
        <x:v>82</x:v>
      </x:c>
      <x:c r="B329" t="str">
        <x:f>IF(VLOOKUP($A329,Assets!$A:$C,2,FALSE)=0,"",VLOOKUP($A329,Assets!$A:$C,2,FALSE))</x:f>
      </x:c>
      <x:c r="C329" t="str">
        <x:f>IF(VLOOKUP($A329,Assets!$A:$C,3,FALSE)=0,"",VLOOKUP($A329,Assets!$A:$C,3,FALSE))</x:f>
      </x:c>
      <x:c r="D329" s="16">
        <x:v>3</x:v>
      </x:c>
      <x:c r="E329" s="20" t="str">
        <x:f>_xlfn.IFNA(VLOOKUP(_xlfn.CONCAT("T",E$1,"V",$D329,"A",$A329),Vulnerabilities!$G:$G,1,FALSE),"")</x:f>
      </x:c>
      <x:c r="F329" s="20" t="str">
        <x:f>_xlfn.IFNA(VLOOKUP(_xlfn.CONCAT("T",F$1,"V",$D329,"A",$A329),Vulnerabilities!$G:$G,1,FALSE),"")</x:f>
      </x:c>
      <x:c r="G329" s="20" t="str">
        <x:f>_xlfn.IFNA(VLOOKUP(_xlfn.CONCAT("T",G$1,"V",$D329,"A",$A329),Vulnerabilities!$G:$G,1,FALSE),"")</x:f>
      </x:c>
      <x:c r="H329" s="20" t="str">
        <x:f>_xlfn.IFNA(VLOOKUP(_xlfn.CONCAT("T",H$1,"V",$D329,"A",$A329),Vulnerabilities!$G:$G,1,FALSE),"")</x:f>
      </x:c>
      <x:c r="I329" s="20" t="str">
        <x:f>_xlfn.IFNA(VLOOKUP(_xlfn.CONCAT("T",I$1,"V",$D329,"A",$A329),Vulnerabilities!$G:$G,1,FALSE),"")</x:f>
      </x:c>
      <x:c r="J329" s="20" t="str">
        <x:f>_xlfn.IFNA(VLOOKUP(_xlfn.CONCAT("T",J$1,"V",$D329,"A",$A329),Vulnerabilities!$G:$G,1,FALSE),"")</x:f>
      </x:c>
      <x:c r="K329" s="20" t="str">
        <x:f>_xlfn.IFNA(VLOOKUP(_xlfn.CONCAT("T",K$1,"V",$D329,"A",$A329),Vulnerabilities!$G:$G,1,FALSE),"")</x:f>
      </x:c>
      <x:c r="L329" s="20" t="str">
        <x:f>_xlfn.IFNA(VLOOKUP(_xlfn.CONCAT("T",L$1,"V",$D329,"A",$A329),Vulnerabilities!$G:$G,1,FALSE),"")</x:f>
      </x:c>
      <x:c r="M329" s="20" t="str">
        <x:f>_xlfn.IFNA(VLOOKUP(_xlfn.CONCAT("T",M$1,"V",$D329,"A",$A329),Vulnerabilities!$G:$G,1,FALSE),"")</x:f>
      </x:c>
      <x:c r="N329" s="20" t="str">
        <x:f>_xlfn.IFNA(VLOOKUP(_xlfn.CONCAT("T",N$1,"V",$D329,"A",$A329),Vulnerabilities!$G:$G,1,FALSE),"")</x:f>
      </x:c>
      <x:c r="O329" s="20" t="str">
        <x:f>_xlfn.IFNA(VLOOKUP(_xlfn.CONCAT("T",O$1,"V",$D329,"A",$A329),Vulnerabilities!$G:$G,1,FALSE),"")</x:f>
      </x:c>
      <x:c r="P329" s="16" t="str">
        <x:f>_xlfn.IFNA(VLOOKUP(_xlfn.CONCAT("T",P$1,"V",$D329,"A",$A329),Vulnerabilities!$G:$G,1,FALSE),"")</x:f>
      </x:c>
    </x:row>
    <x:row r="330">
      <x:c r="A330" s="11">
        <x:f t="shared" si="5"/>
        <x:v>82</x:v>
      </x:c>
      <x:c r="B330" s="12" t="str">
        <x:f>IF(VLOOKUP($A330,Assets!$A:$C,2,FALSE)=0,"",VLOOKUP($A330,Assets!$A:$C,2,FALSE))</x:f>
      </x:c>
      <x:c r="C330" s="12" t="str">
        <x:f>IF(VLOOKUP($A330,Assets!$A:$C,3,FALSE)=0,"",VLOOKUP($A330,Assets!$A:$C,3,FALSE))</x:f>
      </x:c>
      <x:c r="D330" s="17">
        <x:v>4</x:v>
      </x:c>
      <x:c r="E330" s="21" t="str">
        <x:f>_xlfn.IFNA(VLOOKUP(_xlfn.CONCAT("T",E$1,"V",$D330,"A",$A330),Vulnerabilities!$G:$G,1,FALSE),"")</x:f>
      </x:c>
      <x:c r="F330" s="21" t="str">
        <x:f>_xlfn.IFNA(VLOOKUP(_xlfn.CONCAT("T",F$1,"V",$D330,"A",$A330),Vulnerabilities!$G:$G,1,FALSE),"")</x:f>
      </x:c>
      <x:c r="G330" s="21" t="str">
        <x:f>_xlfn.IFNA(VLOOKUP(_xlfn.CONCAT("T",G$1,"V",$D330,"A",$A330),Vulnerabilities!$G:$G,1,FALSE),"")</x:f>
      </x:c>
      <x:c r="H330" s="21" t="str">
        <x:f>_xlfn.IFNA(VLOOKUP(_xlfn.CONCAT("T",H$1,"V",$D330,"A",$A330),Vulnerabilities!$G:$G,1,FALSE),"")</x:f>
      </x:c>
      <x:c r="I330" s="21" t="str">
        <x:f>_xlfn.IFNA(VLOOKUP(_xlfn.CONCAT("T",I$1,"V",$D330,"A",$A330),Vulnerabilities!$G:$G,1,FALSE),"")</x:f>
      </x:c>
      <x:c r="J330" s="21" t="str">
        <x:f>_xlfn.IFNA(VLOOKUP(_xlfn.CONCAT("T",J$1,"V",$D330,"A",$A330),Vulnerabilities!$G:$G,1,FALSE),"")</x:f>
      </x:c>
      <x:c r="K330" s="21" t="str">
        <x:f>_xlfn.IFNA(VLOOKUP(_xlfn.CONCAT("T",K$1,"V",$D330,"A",$A330),Vulnerabilities!$G:$G,1,FALSE),"")</x:f>
      </x:c>
      <x:c r="L330" s="21" t="str">
        <x:f>_xlfn.IFNA(VLOOKUP(_xlfn.CONCAT("T",L$1,"V",$D330,"A",$A330),Vulnerabilities!$G:$G,1,FALSE),"")</x:f>
      </x:c>
      <x:c r="M330" s="21" t="str">
        <x:f>_xlfn.IFNA(VLOOKUP(_xlfn.CONCAT("T",M$1,"V",$D330,"A",$A330),Vulnerabilities!$G:$G,1,FALSE),"")</x:f>
      </x:c>
      <x:c r="N330" s="21" t="str">
        <x:f>_xlfn.IFNA(VLOOKUP(_xlfn.CONCAT("T",N$1,"V",$D330,"A",$A330),Vulnerabilities!$G:$G,1,FALSE),"")</x:f>
      </x:c>
      <x:c r="O330" s="21" t="str">
        <x:f>_xlfn.IFNA(VLOOKUP(_xlfn.CONCAT("T",O$1,"V",$D330,"A",$A330),Vulnerabilities!$G:$G,1,FALSE),"")</x:f>
      </x:c>
      <x:c r="P330" s="17" t="str">
        <x:f>_xlfn.IFNA(VLOOKUP(_xlfn.CONCAT("T",P$1,"V",$D330,"A",$A330),Vulnerabilities!$G:$G,1,FALSE),"")</x:f>
      </x:c>
    </x:row>
    <x:row r="331">
      <x:c r="A331" s="1">
        <x:f t="shared" si="5"/>
        <x:v>83</x:v>
      </x:c>
      <x:c r="B331" t="str">
        <x:f>IF(VLOOKUP($A331,Assets!$A:$C,2,FALSE)=0,"",VLOOKUP($A331,Assets!$A:$C,2,FALSE))</x:f>
      </x:c>
      <x:c r="C331" t="str">
        <x:f>IF(VLOOKUP($A331,Assets!$A:$C,3,FALSE)=0,"",VLOOKUP($A331,Assets!$A:$C,3,FALSE))</x:f>
      </x:c>
      <x:c r="D331" s="16">
        <x:v>1</x:v>
      </x:c>
      <x:c r="E331" s="20" t="str">
        <x:f>_xlfn.IFNA(VLOOKUP(_xlfn.CONCAT("T",E$1,"V",$D331,"A",$A331),Vulnerabilities!$G:$G,1,FALSE),"")</x:f>
      </x:c>
      <x:c r="F331" s="20" t="str">
        <x:f>_xlfn.IFNA(VLOOKUP(_xlfn.CONCAT("T",F$1,"V",$D331,"A",$A331),Vulnerabilities!$G:$G,1,FALSE),"")</x:f>
      </x:c>
      <x:c r="G331" s="20" t="str">
        <x:f>_xlfn.IFNA(VLOOKUP(_xlfn.CONCAT("T",G$1,"V",$D331,"A",$A331),Vulnerabilities!$G:$G,1,FALSE),"")</x:f>
      </x:c>
      <x:c r="H331" s="20" t="str">
        <x:f>_xlfn.IFNA(VLOOKUP(_xlfn.CONCAT("T",H$1,"V",$D331,"A",$A331),Vulnerabilities!$G:$G,1,FALSE),"")</x:f>
      </x:c>
      <x:c r="I331" s="20" t="str">
        <x:f>_xlfn.IFNA(VLOOKUP(_xlfn.CONCAT("T",I$1,"V",$D331,"A",$A331),Vulnerabilities!$G:$G,1,FALSE),"")</x:f>
      </x:c>
      <x:c r="J331" s="20" t="str">
        <x:f>_xlfn.IFNA(VLOOKUP(_xlfn.CONCAT("T",J$1,"V",$D331,"A",$A331),Vulnerabilities!$G:$G,1,FALSE),"")</x:f>
      </x:c>
      <x:c r="K331" s="20" t="str">
        <x:f>_xlfn.IFNA(VLOOKUP(_xlfn.CONCAT("T",K$1,"V",$D331,"A",$A331),Vulnerabilities!$G:$G,1,FALSE),"")</x:f>
      </x:c>
      <x:c r="L331" s="20" t="str">
        <x:f>_xlfn.IFNA(VLOOKUP(_xlfn.CONCAT("T",L$1,"V",$D331,"A",$A331),Vulnerabilities!$G:$G,1,FALSE),"")</x:f>
      </x:c>
      <x:c r="M331" s="20" t="str">
        <x:f>_xlfn.IFNA(VLOOKUP(_xlfn.CONCAT("T",M$1,"V",$D331,"A",$A331),Vulnerabilities!$G:$G,1,FALSE),"")</x:f>
      </x:c>
      <x:c r="N331" s="20" t="str">
        <x:f>_xlfn.IFNA(VLOOKUP(_xlfn.CONCAT("T",N$1,"V",$D331,"A",$A331),Vulnerabilities!$G:$G,1,FALSE),"")</x:f>
      </x:c>
      <x:c r="O331" s="20" t="str">
        <x:f>_xlfn.IFNA(VLOOKUP(_xlfn.CONCAT("T",O$1,"V",$D331,"A",$A331),Vulnerabilities!$G:$G,1,FALSE),"")</x:f>
      </x:c>
      <x:c r="P331" s="16" t="str">
        <x:f>_xlfn.IFNA(VLOOKUP(_xlfn.CONCAT("T",P$1,"V",$D331,"A",$A331),Vulnerabilities!$G:$G,1,FALSE),"")</x:f>
      </x:c>
    </x:row>
    <x:row r="332">
      <x:c r="A332" s="1">
        <x:f t="shared" si="5"/>
        <x:v>83</x:v>
      </x:c>
      <x:c r="B332" t="str">
        <x:f>IF(VLOOKUP($A332,Assets!$A:$C,2,FALSE)=0,"",VLOOKUP($A332,Assets!$A:$C,2,FALSE))</x:f>
      </x:c>
      <x:c r="C332" t="str">
        <x:f>IF(VLOOKUP($A332,Assets!$A:$C,3,FALSE)=0,"",VLOOKUP($A332,Assets!$A:$C,3,FALSE))</x:f>
      </x:c>
      <x:c r="D332" s="16">
        <x:v>2</x:v>
      </x:c>
      <x:c r="E332" s="20" t="str">
        <x:f>_xlfn.IFNA(VLOOKUP(_xlfn.CONCAT("T",E$1,"V",$D332,"A",$A332),Vulnerabilities!$G:$G,1,FALSE),"")</x:f>
      </x:c>
      <x:c r="F332" s="20" t="str">
        <x:f>_xlfn.IFNA(VLOOKUP(_xlfn.CONCAT("T",F$1,"V",$D332,"A",$A332),Vulnerabilities!$G:$G,1,FALSE),"")</x:f>
      </x:c>
      <x:c r="G332" s="20" t="str">
        <x:f>_xlfn.IFNA(VLOOKUP(_xlfn.CONCAT("T",G$1,"V",$D332,"A",$A332),Vulnerabilities!$G:$G,1,FALSE),"")</x:f>
      </x:c>
      <x:c r="H332" s="20" t="str">
        <x:f>_xlfn.IFNA(VLOOKUP(_xlfn.CONCAT("T",H$1,"V",$D332,"A",$A332),Vulnerabilities!$G:$G,1,FALSE),"")</x:f>
      </x:c>
      <x:c r="I332" s="20" t="str">
        <x:f>_xlfn.IFNA(VLOOKUP(_xlfn.CONCAT("T",I$1,"V",$D332,"A",$A332),Vulnerabilities!$G:$G,1,FALSE),"")</x:f>
      </x:c>
      <x:c r="J332" s="20" t="str">
        <x:f>_xlfn.IFNA(VLOOKUP(_xlfn.CONCAT("T",J$1,"V",$D332,"A",$A332),Vulnerabilities!$G:$G,1,FALSE),"")</x:f>
      </x:c>
      <x:c r="K332" s="20" t="str">
        <x:f>_xlfn.IFNA(VLOOKUP(_xlfn.CONCAT("T",K$1,"V",$D332,"A",$A332),Vulnerabilities!$G:$G,1,FALSE),"")</x:f>
      </x:c>
      <x:c r="L332" s="20" t="str">
        <x:f>_xlfn.IFNA(VLOOKUP(_xlfn.CONCAT("T",L$1,"V",$D332,"A",$A332),Vulnerabilities!$G:$G,1,FALSE),"")</x:f>
      </x:c>
      <x:c r="M332" s="20" t="str">
        <x:f>_xlfn.IFNA(VLOOKUP(_xlfn.CONCAT("T",M$1,"V",$D332,"A",$A332),Vulnerabilities!$G:$G,1,FALSE),"")</x:f>
      </x:c>
      <x:c r="N332" s="20" t="str">
        <x:f>_xlfn.IFNA(VLOOKUP(_xlfn.CONCAT("T",N$1,"V",$D332,"A",$A332),Vulnerabilities!$G:$G,1,FALSE),"")</x:f>
      </x:c>
      <x:c r="O332" s="20" t="str">
        <x:f>_xlfn.IFNA(VLOOKUP(_xlfn.CONCAT("T",O$1,"V",$D332,"A",$A332),Vulnerabilities!$G:$G,1,FALSE),"")</x:f>
      </x:c>
      <x:c r="P332" s="16" t="str">
        <x:f>_xlfn.IFNA(VLOOKUP(_xlfn.CONCAT("T",P$1,"V",$D332,"A",$A332),Vulnerabilities!$G:$G,1,FALSE),"")</x:f>
      </x:c>
    </x:row>
    <x:row r="333">
      <x:c r="A333" s="1">
        <x:f t="shared" si="5"/>
        <x:v>83</x:v>
      </x:c>
      <x:c r="B333" t="str">
        <x:f>IF(VLOOKUP($A333,Assets!$A:$C,2,FALSE)=0,"",VLOOKUP($A333,Assets!$A:$C,2,FALSE))</x:f>
      </x:c>
      <x:c r="C333" t="str">
        <x:f>IF(VLOOKUP($A333,Assets!$A:$C,3,FALSE)=0,"",VLOOKUP($A333,Assets!$A:$C,3,FALSE))</x:f>
      </x:c>
      <x:c r="D333" s="16">
        <x:v>3</x:v>
      </x:c>
      <x:c r="E333" s="20" t="str">
        <x:f>_xlfn.IFNA(VLOOKUP(_xlfn.CONCAT("T",E$1,"V",$D333,"A",$A333),Vulnerabilities!$G:$G,1,FALSE),"")</x:f>
      </x:c>
      <x:c r="F333" s="20" t="str">
        <x:f>_xlfn.IFNA(VLOOKUP(_xlfn.CONCAT("T",F$1,"V",$D333,"A",$A333),Vulnerabilities!$G:$G,1,FALSE),"")</x:f>
      </x:c>
      <x:c r="G333" s="20" t="str">
        <x:f>_xlfn.IFNA(VLOOKUP(_xlfn.CONCAT("T",G$1,"V",$D333,"A",$A333),Vulnerabilities!$G:$G,1,FALSE),"")</x:f>
      </x:c>
      <x:c r="H333" s="20" t="str">
        <x:f>_xlfn.IFNA(VLOOKUP(_xlfn.CONCAT("T",H$1,"V",$D333,"A",$A333),Vulnerabilities!$G:$G,1,FALSE),"")</x:f>
      </x:c>
      <x:c r="I333" s="20" t="str">
        <x:f>_xlfn.IFNA(VLOOKUP(_xlfn.CONCAT("T",I$1,"V",$D333,"A",$A333),Vulnerabilities!$G:$G,1,FALSE),"")</x:f>
      </x:c>
      <x:c r="J333" s="20" t="str">
        <x:f>_xlfn.IFNA(VLOOKUP(_xlfn.CONCAT("T",J$1,"V",$D333,"A",$A333),Vulnerabilities!$G:$G,1,FALSE),"")</x:f>
      </x:c>
      <x:c r="K333" s="20" t="str">
        <x:f>_xlfn.IFNA(VLOOKUP(_xlfn.CONCAT("T",K$1,"V",$D333,"A",$A333),Vulnerabilities!$G:$G,1,FALSE),"")</x:f>
      </x:c>
      <x:c r="L333" s="20" t="str">
        <x:f>_xlfn.IFNA(VLOOKUP(_xlfn.CONCAT("T",L$1,"V",$D333,"A",$A333),Vulnerabilities!$G:$G,1,FALSE),"")</x:f>
      </x:c>
      <x:c r="M333" s="20" t="str">
        <x:f>_xlfn.IFNA(VLOOKUP(_xlfn.CONCAT("T",M$1,"V",$D333,"A",$A333),Vulnerabilities!$G:$G,1,FALSE),"")</x:f>
      </x:c>
      <x:c r="N333" s="20" t="str">
        <x:f>_xlfn.IFNA(VLOOKUP(_xlfn.CONCAT("T",N$1,"V",$D333,"A",$A333),Vulnerabilities!$G:$G,1,FALSE),"")</x:f>
      </x:c>
      <x:c r="O333" s="20" t="str">
        <x:f>_xlfn.IFNA(VLOOKUP(_xlfn.CONCAT("T",O$1,"V",$D333,"A",$A333),Vulnerabilities!$G:$G,1,FALSE),"")</x:f>
      </x:c>
      <x:c r="P333" s="16" t="str">
        <x:f>_xlfn.IFNA(VLOOKUP(_xlfn.CONCAT("T",P$1,"V",$D333,"A",$A333),Vulnerabilities!$G:$G,1,FALSE),"")</x:f>
      </x:c>
    </x:row>
    <x:row r="334">
      <x:c r="A334" s="11">
        <x:f t="shared" si="5"/>
        <x:v>83</x:v>
      </x:c>
      <x:c r="B334" s="12" t="str">
        <x:f>IF(VLOOKUP($A334,Assets!$A:$C,2,FALSE)=0,"",VLOOKUP($A334,Assets!$A:$C,2,FALSE))</x:f>
      </x:c>
      <x:c r="C334" s="12" t="str">
        <x:f>IF(VLOOKUP($A334,Assets!$A:$C,3,FALSE)=0,"",VLOOKUP($A334,Assets!$A:$C,3,FALSE))</x:f>
      </x:c>
      <x:c r="D334" s="17">
        <x:v>4</x:v>
      </x:c>
      <x:c r="E334" s="21" t="str">
        <x:f>_xlfn.IFNA(VLOOKUP(_xlfn.CONCAT("T",E$1,"V",$D334,"A",$A334),Vulnerabilities!$G:$G,1,FALSE),"")</x:f>
      </x:c>
      <x:c r="F334" s="21" t="str">
        <x:f>_xlfn.IFNA(VLOOKUP(_xlfn.CONCAT("T",F$1,"V",$D334,"A",$A334),Vulnerabilities!$G:$G,1,FALSE),"")</x:f>
      </x:c>
      <x:c r="G334" s="21" t="str">
        <x:f>_xlfn.IFNA(VLOOKUP(_xlfn.CONCAT("T",G$1,"V",$D334,"A",$A334),Vulnerabilities!$G:$G,1,FALSE),"")</x:f>
      </x:c>
      <x:c r="H334" s="21" t="str">
        <x:f>_xlfn.IFNA(VLOOKUP(_xlfn.CONCAT("T",H$1,"V",$D334,"A",$A334),Vulnerabilities!$G:$G,1,FALSE),"")</x:f>
      </x:c>
      <x:c r="I334" s="21" t="str">
        <x:f>_xlfn.IFNA(VLOOKUP(_xlfn.CONCAT("T",I$1,"V",$D334,"A",$A334),Vulnerabilities!$G:$G,1,FALSE),"")</x:f>
      </x:c>
      <x:c r="J334" s="21" t="str">
        <x:f>_xlfn.IFNA(VLOOKUP(_xlfn.CONCAT("T",J$1,"V",$D334,"A",$A334),Vulnerabilities!$G:$G,1,FALSE),"")</x:f>
      </x:c>
      <x:c r="K334" s="21" t="str">
        <x:f>_xlfn.IFNA(VLOOKUP(_xlfn.CONCAT("T",K$1,"V",$D334,"A",$A334),Vulnerabilities!$G:$G,1,FALSE),"")</x:f>
      </x:c>
      <x:c r="L334" s="21" t="str">
        <x:f>_xlfn.IFNA(VLOOKUP(_xlfn.CONCAT("T",L$1,"V",$D334,"A",$A334),Vulnerabilities!$G:$G,1,FALSE),"")</x:f>
      </x:c>
      <x:c r="M334" s="21" t="str">
        <x:f>_xlfn.IFNA(VLOOKUP(_xlfn.CONCAT("T",M$1,"V",$D334,"A",$A334),Vulnerabilities!$G:$G,1,FALSE),"")</x:f>
      </x:c>
      <x:c r="N334" s="21" t="str">
        <x:f>_xlfn.IFNA(VLOOKUP(_xlfn.CONCAT("T",N$1,"V",$D334,"A",$A334),Vulnerabilities!$G:$G,1,FALSE),"")</x:f>
      </x:c>
      <x:c r="O334" s="21" t="str">
        <x:f>_xlfn.IFNA(VLOOKUP(_xlfn.CONCAT("T",O$1,"V",$D334,"A",$A334),Vulnerabilities!$G:$G,1,FALSE),"")</x:f>
      </x:c>
      <x:c r="P334" s="17" t="str">
        <x:f>_xlfn.IFNA(VLOOKUP(_xlfn.CONCAT("T",P$1,"V",$D334,"A",$A334),Vulnerabilities!$G:$G,1,FALSE),"")</x:f>
      </x:c>
    </x:row>
    <x:row r="335">
      <x:c r="A335" s="1">
        <x:f t="shared" si="5"/>
        <x:v>84</x:v>
      </x:c>
      <x:c r="B335" t="str">
        <x:f>IF(VLOOKUP($A335,Assets!$A:$C,2,FALSE)=0,"",VLOOKUP($A335,Assets!$A:$C,2,FALSE))</x:f>
      </x:c>
      <x:c r="C335" t="str">
        <x:f>IF(VLOOKUP($A335,Assets!$A:$C,3,FALSE)=0,"",VLOOKUP($A335,Assets!$A:$C,3,FALSE))</x:f>
      </x:c>
      <x:c r="D335" s="16">
        <x:v>1</x:v>
      </x:c>
      <x:c r="E335" s="20" t="str">
        <x:f>_xlfn.IFNA(VLOOKUP(_xlfn.CONCAT("T",E$1,"V",$D335,"A",$A335),Vulnerabilities!$G:$G,1,FALSE),"")</x:f>
      </x:c>
      <x:c r="F335" s="20" t="str">
        <x:f>_xlfn.IFNA(VLOOKUP(_xlfn.CONCAT("T",F$1,"V",$D335,"A",$A335),Vulnerabilities!$G:$G,1,FALSE),"")</x:f>
      </x:c>
      <x:c r="G335" s="20" t="str">
        <x:f>_xlfn.IFNA(VLOOKUP(_xlfn.CONCAT("T",G$1,"V",$D335,"A",$A335),Vulnerabilities!$G:$G,1,FALSE),"")</x:f>
      </x:c>
      <x:c r="H335" s="20" t="str">
        <x:f>_xlfn.IFNA(VLOOKUP(_xlfn.CONCAT("T",H$1,"V",$D335,"A",$A335),Vulnerabilities!$G:$G,1,FALSE),"")</x:f>
      </x:c>
      <x:c r="I335" s="20" t="str">
        <x:f>_xlfn.IFNA(VLOOKUP(_xlfn.CONCAT("T",I$1,"V",$D335,"A",$A335),Vulnerabilities!$G:$G,1,FALSE),"")</x:f>
      </x:c>
      <x:c r="J335" s="20" t="str">
        <x:f>_xlfn.IFNA(VLOOKUP(_xlfn.CONCAT("T",J$1,"V",$D335,"A",$A335),Vulnerabilities!$G:$G,1,FALSE),"")</x:f>
      </x:c>
      <x:c r="K335" s="20" t="str">
        <x:f>_xlfn.IFNA(VLOOKUP(_xlfn.CONCAT("T",K$1,"V",$D335,"A",$A335),Vulnerabilities!$G:$G,1,FALSE),"")</x:f>
      </x:c>
      <x:c r="L335" s="20" t="str">
        <x:f>_xlfn.IFNA(VLOOKUP(_xlfn.CONCAT("T",L$1,"V",$D335,"A",$A335),Vulnerabilities!$G:$G,1,FALSE),"")</x:f>
      </x:c>
      <x:c r="M335" s="20" t="str">
        <x:f>_xlfn.IFNA(VLOOKUP(_xlfn.CONCAT("T",M$1,"V",$D335,"A",$A335),Vulnerabilities!$G:$G,1,FALSE),"")</x:f>
      </x:c>
      <x:c r="N335" s="20" t="str">
        <x:f>_xlfn.IFNA(VLOOKUP(_xlfn.CONCAT("T",N$1,"V",$D335,"A",$A335),Vulnerabilities!$G:$G,1,FALSE),"")</x:f>
      </x:c>
      <x:c r="O335" s="20" t="str">
        <x:f>_xlfn.IFNA(VLOOKUP(_xlfn.CONCAT("T",O$1,"V",$D335,"A",$A335),Vulnerabilities!$G:$G,1,FALSE),"")</x:f>
      </x:c>
      <x:c r="P335" s="16" t="str">
        <x:f>_xlfn.IFNA(VLOOKUP(_xlfn.CONCAT("T",P$1,"V",$D335,"A",$A335),Vulnerabilities!$G:$G,1,FALSE),"")</x:f>
      </x:c>
    </x:row>
    <x:row r="336">
      <x:c r="A336" s="1">
        <x:f t="shared" si="5"/>
        <x:v>84</x:v>
      </x:c>
      <x:c r="B336" t="str">
        <x:f>IF(VLOOKUP($A336,Assets!$A:$C,2,FALSE)=0,"",VLOOKUP($A336,Assets!$A:$C,2,FALSE))</x:f>
      </x:c>
      <x:c r="C336" t="str">
        <x:f>IF(VLOOKUP($A336,Assets!$A:$C,3,FALSE)=0,"",VLOOKUP($A336,Assets!$A:$C,3,FALSE))</x:f>
      </x:c>
      <x:c r="D336" s="16">
        <x:v>2</x:v>
      </x:c>
      <x:c r="E336" s="20" t="str">
        <x:f>_xlfn.IFNA(VLOOKUP(_xlfn.CONCAT("T",E$1,"V",$D336,"A",$A336),Vulnerabilities!$G:$G,1,FALSE),"")</x:f>
      </x:c>
      <x:c r="F336" s="20" t="str">
        <x:f>_xlfn.IFNA(VLOOKUP(_xlfn.CONCAT("T",F$1,"V",$D336,"A",$A336),Vulnerabilities!$G:$G,1,FALSE),"")</x:f>
      </x:c>
      <x:c r="G336" s="20" t="str">
        <x:f>_xlfn.IFNA(VLOOKUP(_xlfn.CONCAT("T",G$1,"V",$D336,"A",$A336),Vulnerabilities!$G:$G,1,FALSE),"")</x:f>
      </x:c>
      <x:c r="H336" s="20" t="str">
        <x:f>_xlfn.IFNA(VLOOKUP(_xlfn.CONCAT("T",H$1,"V",$D336,"A",$A336),Vulnerabilities!$G:$G,1,FALSE),"")</x:f>
      </x:c>
      <x:c r="I336" s="20" t="str">
        <x:f>_xlfn.IFNA(VLOOKUP(_xlfn.CONCAT("T",I$1,"V",$D336,"A",$A336),Vulnerabilities!$G:$G,1,FALSE),"")</x:f>
      </x:c>
      <x:c r="J336" s="20" t="str">
        <x:f>_xlfn.IFNA(VLOOKUP(_xlfn.CONCAT("T",J$1,"V",$D336,"A",$A336),Vulnerabilities!$G:$G,1,FALSE),"")</x:f>
      </x:c>
      <x:c r="K336" s="20" t="str">
        <x:f>_xlfn.IFNA(VLOOKUP(_xlfn.CONCAT("T",K$1,"V",$D336,"A",$A336),Vulnerabilities!$G:$G,1,FALSE),"")</x:f>
      </x:c>
      <x:c r="L336" s="20" t="str">
        <x:f>_xlfn.IFNA(VLOOKUP(_xlfn.CONCAT("T",L$1,"V",$D336,"A",$A336),Vulnerabilities!$G:$G,1,FALSE),"")</x:f>
      </x:c>
      <x:c r="M336" s="20" t="str">
        <x:f>_xlfn.IFNA(VLOOKUP(_xlfn.CONCAT("T",M$1,"V",$D336,"A",$A336),Vulnerabilities!$G:$G,1,FALSE),"")</x:f>
      </x:c>
      <x:c r="N336" s="20" t="str">
        <x:f>_xlfn.IFNA(VLOOKUP(_xlfn.CONCAT("T",N$1,"V",$D336,"A",$A336),Vulnerabilities!$G:$G,1,FALSE),"")</x:f>
      </x:c>
      <x:c r="O336" s="20" t="str">
        <x:f>_xlfn.IFNA(VLOOKUP(_xlfn.CONCAT("T",O$1,"V",$D336,"A",$A336),Vulnerabilities!$G:$G,1,FALSE),"")</x:f>
      </x:c>
      <x:c r="P336" s="16" t="str">
        <x:f>_xlfn.IFNA(VLOOKUP(_xlfn.CONCAT("T",P$1,"V",$D336,"A",$A336),Vulnerabilities!$G:$G,1,FALSE),"")</x:f>
      </x:c>
    </x:row>
    <x:row r="337">
      <x:c r="A337" s="1">
        <x:f t="shared" si="5"/>
        <x:v>84</x:v>
      </x:c>
      <x:c r="B337" t="str">
        <x:f>IF(VLOOKUP($A337,Assets!$A:$C,2,FALSE)=0,"",VLOOKUP($A337,Assets!$A:$C,2,FALSE))</x:f>
      </x:c>
      <x:c r="C337" t="str">
        <x:f>IF(VLOOKUP($A337,Assets!$A:$C,3,FALSE)=0,"",VLOOKUP($A337,Assets!$A:$C,3,FALSE))</x:f>
      </x:c>
      <x:c r="D337" s="16">
        <x:v>3</x:v>
      </x:c>
      <x:c r="E337" s="20" t="str">
        <x:f>_xlfn.IFNA(VLOOKUP(_xlfn.CONCAT("T",E$1,"V",$D337,"A",$A337),Vulnerabilities!$G:$G,1,FALSE),"")</x:f>
      </x:c>
      <x:c r="F337" s="20" t="str">
        <x:f>_xlfn.IFNA(VLOOKUP(_xlfn.CONCAT("T",F$1,"V",$D337,"A",$A337),Vulnerabilities!$G:$G,1,FALSE),"")</x:f>
      </x:c>
      <x:c r="G337" s="20" t="str">
        <x:f>_xlfn.IFNA(VLOOKUP(_xlfn.CONCAT("T",G$1,"V",$D337,"A",$A337),Vulnerabilities!$G:$G,1,FALSE),"")</x:f>
      </x:c>
      <x:c r="H337" s="20" t="str">
        <x:f>_xlfn.IFNA(VLOOKUP(_xlfn.CONCAT("T",H$1,"V",$D337,"A",$A337),Vulnerabilities!$G:$G,1,FALSE),"")</x:f>
      </x:c>
      <x:c r="I337" s="20" t="str">
        <x:f>_xlfn.IFNA(VLOOKUP(_xlfn.CONCAT("T",I$1,"V",$D337,"A",$A337),Vulnerabilities!$G:$G,1,FALSE),"")</x:f>
      </x:c>
      <x:c r="J337" s="20" t="str">
        <x:f>_xlfn.IFNA(VLOOKUP(_xlfn.CONCAT("T",J$1,"V",$D337,"A",$A337),Vulnerabilities!$G:$G,1,FALSE),"")</x:f>
      </x:c>
      <x:c r="K337" s="20" t="str">
        <x:f>_xlfn.IFNA(VLOOKUP(_xlfn.CONCAT("T",K$1,"V",$D337,"A",$A337),Vulnerabilities!$G:$G,1,FALSE),"")</x:f>
      </x:c>
      <x:c r="L337" s="20" t="str">
        <x:f>_xlfn.IFNA(VLOOKUP(_xlfn.CONCAT("T",L$1,"V",$D337,"A",$A337),Vulnerabilities!$G:$G,1,FALSE),"")</x:f>
      </x:c>
      <x:c r="M337" s="20" t="str">
        <x:f>_xlfn.IFNA(VLOOKUP(_xlfn.CONCAT("T",M$1,"V",$D337,"A",$A337),Vulnerabilities!$G:$G,1,FALSE),"")</x:f>
      </x:c>
      <x:c r="N337" s="20" t="str">
        <x:f>_xlfn.IFNA(VLOOKUP(_xlfn.CONCAT("T",N$1,"V",$D337,"A",$A337),Vulnerabilities!$G:$G,1,FALSE),"")</x:f>
      </x:c>
      <x:c r="O337" s="20" t="str">
        <x:f>_xlfn.IFNA(VLOOKUP(_xlfn.CONCAT("T",O$1,"V",$D337,"A",$A337),Vulnerabilities!$G:$G,1,FALSE),"")</x:f>
      </x:c>
      <x:c r="P337" s="16" t="str">
        <x:f>_xlfn.IFNA(VLOOKUP(_xlfn.CONCAT("T",P$1,"V",$D337,"A",$A337),Vulnerabilities!$G:$G,1,FALSE),"")</x:f>
      </x:c>
    </x:row>
    <x:row r="338">
      <x:c r="A338" s="11">
        <x:f t="shared" si="5"/>
        <x:v>84</x:v>
      </x:c>
      <x:c r="B338" s="12" t="str">
        <x:f>IF(VLOOKUP($A338,Assets!$A:$C,2,FALSE)=0,"",VLOOKUP($A338,Assets!$A:$C,2,FALSE))</x:f>
      </x:c>
      <x:c r="C338" s="12" t="str">
        <x:f>IF(VLOOKUP($A338,Assets!$A:$C,3,FALSE)=0,"",VLOOKUP($A338,Assets!$A:$C,3,FALSE))</x:f>
      </x:c>
      <x:c r="D338" s="17">
        <x:v>4</x:v>
      </x:c>
      <x:c r="E338" s="21" t="str">
        <x:f>_xlfn.IFNA(VLOOKUP(_xlfn.CONCAT("T",E$1,"V",$D338,"A",$A338),Vulnerabilities!$G:$G,1,FALSE),"")</x:f>
      </x:c>
      <x:c r="F338" s="21" t="str">
        <x:f>_xlfn.IFNA(VLOOKUP(_xlfn.CONCAT("T",F$1,"V",$D338,"A",$A338),Vulnerabilities!$G:$G,1,FALSE),"")</x:f>
      </x:c>
      <x:c r="G338" s="21" t="str">
        <x:f>_xlfn.IFNA(VLOOKUP(_xlfn.CONCAT("T",G$1,"V",$D338,"A",$A338),Vulnerabilities!$G:$G,1,FALSE),"")</x:f>
      </x:c>
      <x:c r="H338" s="21" t="str">
        <x:f>_xlfn.IFNA(VLOOKUP(_xlfn.CONCAT("T",H$1,"V",$D338,"A",$A338),Vulnerabilities!$G:$G,1,FALSE),"")</x:f>
      </x:c>
      <x:c r="I338" s="21" t="str">
        <x:f>_xlfn.IFNA(VLOOKUP(_xlfn.CONCAT("T",I$1,"V",$D338,"A",$A338),Vulnerabilities!$G:$G,1,FALSE),"")</x:f>
      </x:c>
      <x:c r="J338" s="21" t="str">
        <x:f>_xlfn.IFNA(VLOOKUP(_xlfn.CONCAT("T",J$1,"V",$D338,"A",$A338),Vulnerabilities!$G:$G,1,FALSE),"")</x:f>
      </x:c>
      <x:c r="K338" s="21" t="str">
        <x:f>_xlfn.IFNA(VLOOKUP(_xlfn.CONCAT("T",K$1,"V",$D338,"A",$A338),Vulnerabilities!$G:$G,1,FALSE),"")</x:f>
      </x:c>
      <x:c r="L338" s="21" t="str">
        <x:f>_xlfn.IFNA(VLOOKUP(_xlfn.CONCAT("T",L$1,"V",$D338,"A",$A338),Vulnerabilities!$G:$G,1,FALSE),"")</x:f>
      </x:c>
      <x:c r="M338" s="21" t="str">
        <x:f>_xlfn.IFNA(VLOOKUP(_xlfn.CONCAT("T",M$1,"V",$D338,"A",$A338),Vulnerabilities!$G:$G,1,FALSE),"")</x:f>
      </x:c>
      <x:c r="N338" s="21" t="str">
        <x:f>_xlfn.IFNA(VLOOKUP(_xlfn.CONCAT("T",N$1,"V",$D338,"A",$A338),Vulnerabilities!$G:$G,1,FALSE),"")</x:f>
      </x:c>
      <x:c r="O338" s="21" t="str">
        <x:f>_xlfn.IFNA(VLOOKUP(_xlfn.CONCAT("T",O$1,"V",$D338,"A",$A338),Vulnerabilities!$G:$G,1,FALSE),"")</x:f>
      </x:c>
      <x:c r="P338" s="17" t="str">
        <x:f>_xlfn.IFNA(VLOOKUP(_xlfn.CONCAT("T",P$1,"V",$D338,"A",$A338),Vulnerabilities!$G:$G,1,FALSE),"")</x:f>
      </x:c>
    </x:row>
    <x:row r="339">
      <x:c r="A339" s="1">
        <x:f t="shared" si="5"/>
        <x:v>85</x:v>
      </x:c>
      <x:c r="B339" t="str">
        <x:f>IF(VLOOKUP($A339,Assets!$A:$C,2,FALSE)=0,"",VLOOKUP($A339,Assets!$A:$C,2,FALSE))</x:f>
      </x:c>
      <x:c r="C339" t="str">
        <x:f>IF(VLOOKUP($A339,Assets!$A:$C,3,FALSE)=0,"",VLOOKUP($A339,Assets!$A:$C,3,FALSE))</x:f>
      </x:c>
      <x:c r="D339" s="16">
        <x:v>1</x:v>
      </x:c>
      <x:c r="E339" s="20" t="str">
        <x:f>_xlfn.IFNA(VLOOKUP(_xlfn.CONCAT("T",E$1,"V",$D339,"A",$A339),Vulnerabilities!$G:$G,1,FALSE),"")</x:f>
      </x:c>
      <x:c r="F339" s="20" t="str">
        <x:f>_xlfn.IFNA(VLOOKUP(_xlfn.CONCAT("T",F$1,"V",$D339,"A",$A339),Vulnerabilities!$G:$G,1,FALSE),"")</x:f>
      </x:c>
      <x:c r="G339" s="20" t="str">
        <x:f>_xlfn.IFNA(VLOOKUP(_xlfn.CONCAT("T",G$1,"V",$D339,"A",$A339),Vulnerabilities!$G:$G,1,FALSE),"")</x:f>
      </x:c>
      <x:c r="H339" s="20" t="str">
        <x:f>_xlfn.IFNA(VLOOKUP(_xlfn.CONCAT("T",H$1,"V",$D339,"A",$A339),Vulnerabilities!$G:$G,1,FALSE),"")</x:f>
      </x:c>
      <x:c r="I339" s="20" t="str">
        <x:f>_xlfn.IFNA(VLOOKUP(_xlfn.CONCAT("T",I$1,"V",$D339,"A",$A339),Vulnerabilities!$G:$G,1,FALSE),"")</x:f>
      </x:c>
      <x:c r="J339" s="20" t="str">
        <x:f>_xlfn.IFNA(VLOOKUP(_xlfn.CONCAT("T",J$1,"V",$D339,"A",$A339),Vulnerabilities!$G:$G,1,FALSE),"")</x:f>
      </x:c>
      <x:c r="K339" s="20" t="str">
        <x:f>_xlfn.IFNA(VLOOKUP(_xlfn.CONCAT("T",K$1,"V",$D339,"A",$A339),Vulnerabilities!$G:$G,1,FALSE),"")</x:f>
      </x:c>
      <x:c r="L339" s="20" t="str">
        <x:f>_xlfn.IFNA(VLOOKUP(_xlfn.CONCAT("T",L$1,"V",$D339,"A",$A339),Vulnerabilities!$G:$G,1,FALSE),"")</x:f>
      </x:c>
      <x:c r="M339" s="20" t="str">
        <x:f>_xlfn.IFNA(VLOOKUP(_xlfn.CONCAT("T",M$1,"V",$D339,"A",$A339),Vulnerabilities!$G:$G,1,FALSE),"")</x:f>
      </x:c>
      <x:c r="N339" s="20" t="str">
        <x:f>_xlfn.IFNA(VLOOKUP(_xlfn.CONCAT("T",N$1,"V",$D339,"A",$A339),Vulnerabilities!$G:$G,1,FALSE),"")</x:f>
      </x:c>
      <x:c r="O339" s="20" t="str">
        <x:f>_xlfn.IFNA(VLOOKUP(_xlfn.CONCAT("T",O$1,"V",$D339,"A",$A339),Vulnerabilities!$G:$G,1,FALSE),"")</x:f>
      </x:c>
      <x:c r="P339" s="16" t="str">
        <x:f>_xlfn.IFNA(VLOOKUP(_xlfn.CONCAT("T",P$1,"V",$D339,"A",$A339),Vulnerabilities!$G:$G,1,FALSE),"")</x:f>
      </x:c>
    </x:row>
    <x:row r="340">
      <x:c r="A340" s="1">
        <x:f t="shared" si="5"/>
        <x:v>85</x:v>
      </x:c>
      <x:c r="B340" t="str">
        <x:f>IF(VLOOKUP($A340,Assets!$A:$C,2,FALSE)=0,"",VLOOKUP($A340,Assets!$A:$C,2,FALSE))</x:f>
      </x:c>
      <x:c r="C340" t="str">
        <x:f>IF(VLOOKUP($A340,Assets!$A:$C,3,FALSE)=0,"",VLOOKUP($A340,Assets!$A:$C,3,FALSE))</x:f>
      </x:c>
      <x:c r="D340" s="16">
        <x:v>2</x:v>
      </x:c>
      <x:c r="E340" s="20" t="str">
        <x:f>_xlfn.IFNA(VLOOKUP(_xlfn.CONCAT("T",E$1,"V",$D340,"A",$A340),Vulnerabilities!$G:$G,1,FALSE),"")</x:f>
      </x:c>
      <x:c r="F340" s="20" t="str">
        <x:f>_xlfn.IFNA(VLOOKUP(_xlfn.CONCAT("T",F$1,"V",$D340,"A",$A340),Vulnerabilities!$G:$G,1,FALSE),"")</x:f>
      </x:c>
      <x:c r="G340" s="20" t="str">
        <x:f>_xlfn.IFNA(VLOOKUP(_xlfn.CONCAT("T",G$1,"V",$D340,"A",$A340),Vulnerabilities!$G:$G,1,FALSE),"")</x:f>
      </x:c>
      <x:c r="H340" s="20" t="str">
        <x:f>_xlfn.IFNA(VLOOKUP(_xlfn.CONCAT("T",H$1,"V",$D340,"A",$A340),Vulnerabilities!$G:$G,1,FALSE),"")</x:f>
      </x:c>
      <x:c r="I340" s="20" t="str">
        <x:f>_xlfn.IFNA(VLOOKUP(_xlfn.CONCAT("T",I$1,"V",$D340,"A",$A340),Vulnerabilities!$G:$G,1,FALSE),"")</x:f>
      </x:c>
      <x:c r="J340" s="20" t="str">
        <x:f>_xlfn.IFNA(VLOOKUP(_xlfn.CONCAT("T",J$1,"V",$D340,"A",$A340),Vulnerabilities!$G:$G,1,FALSE),"")</x:f>
      </x:c>
      <x:c r="K340" s="20" t="str">
        <x:f>_xlfn.IFNA(VLOOKUP(_xlfn.CONCAT("T",K$1,"V",$D340,"A",$A340),Vulnerabilities!$G:$G,1,FALSE),"")</x:f>
      </x:c>
      <x:c r="L340" s="20" t="str">
        <x:f>_xlfn.IFNA(VLOOKUP(_xlfn.CONCAT("T",L$1,"V",$D340,"A",$A340),Vulnerabilities!$G:$G,1,FALSE),"")</x:f>
      </x:c>
      <x:c r="M340" s="20" t="str">
        <x:f>_xlfn.IFNA(VLOOKUP(_xlfn.CONCAT("T",M$1,"V",$D340,"A",$A340),Vulnerabilities!$G:$G,1,FALSE),"")</x:f>
      </x:c>
      <x:c r="N340" s="20" t="str">
        <x:f>_xlfn.IFNA(VLOOKUP(_xlfn.CONCAT("T",N$1,"V",$D340,"A",$A340),Vulnerabilities!$G:$G,1,FALSE),"")</x:f>
      </x:c>
      <x:c r="O340" s="20" t="str">
        <x:f>_xlfn.IFNA(VLOOKUP(_xlfn.CONCAT("T",O$1,"V",$D340,"A",$A340),Vulnerabilities!$G:$G,1,FALSE),"")</x:f>
      </x:c>
      <x:c r="P340" s="16" t="str">
        <x:f>_xlfn.IFNA(VLOOKUP(_xlfn.CONCAT("T",P$1,"V",$D340,"A",$A340),Vulnerabilities!$G:$G,1,FALSE),"")</x:f>
      </x:c>
    </x:row>
    <x:row r="341">
      <x:c r="A341" s="1">
        <x:f t="shared" si="5"/>
        <x:v>85</x:v>
      </x:c>
      <x:c r="B341" t="str">
        <x:f>IF(VLOOKUP($A341,Assets!$A:$C,2,FALSE)=0,"",VLOOKUP($A341,Assets!$A:$C,2,FALSE))</x:f>
      </x:c>
      <x:c r="C341" t="str">
        <x:f>IF(VLOOKUP($A341,Assets!$A:$C,3,FALSE)=0,"",VLOOKUP($A341,Assets!$A:$C,3,FALSE))</x:f>
      </x:c>
      <x:c r="D341" s="16">
        <x:v>3</x:v>
      </x:c>
      <x:c r="E341" s="20" t="str">
        <x:f>_xlfn.IFNA(VLOOKUP(_xlfn.CONCAT("T",E$1,"V",$D341,"A",$A341),Vulnerabilities!$G:$G,1,FALSE),"")</x:f>
      </x:c>
      <x:c r="F341" s="20" t="str">
        <x:f>_xlfn.IFNA(VLOOKUP(_xlfn.CONCAT("T",F$1,"V",$D341,"A",$A341),Vulnerabilities!$G:$G,1,FALSE),"")</x:f>
      </x:c>
      <x:c r="G341" s="20" t="str">
        <x:f>_xlfn.IFNA(VLOOKUP(_xlfn.CONCAT("T",G$1,"V",$D341,"A",$A341),Vulnerabilities!$G:$G,1,FALSE),"")</x:f>
      </x:c>
      <x:c r="H341" s="20" t="str">
        <x:f>_xlfn.IFNA(VLOOKUP(_xlfn.CONCAT("T",H$1,"V",$D341,"A",$A341),Vulnerabilities!$G:$G,1,FALSE),"")</x:f>
      </x:c>
      <x:c r="I341" s="20" t="str">
        <x:f>_xlfn.IFNA(VLOOKUP(_xlfn.CONCAT("T",I$1,"V",$D341,"A",$A341),Vulnerabilities!$G:$G,1,FALSE),"")</x:f>
      </x:c>
      <x:c r="J341" s="20" t="str">
        <x:f>_xlfn.IFNA(VLOOKUP(_xlfn.CONCAT("T",J$1,"V",$D341,"A",$A341),Vulnerabilities!$G:$G,1,FALSE),"")</x:f>
      </x:c>
      <x:c r="K341" s="20" t="str">
        <x:f>_xlfn.IFNA(VLOOKUP(_xlfn.CONCAT("T",K$1,"V",$D341,"A",$A341),Vulnerabilities!$G:$G,1,FALSE),"")</x:f>
      </x:c>
      <x:c r="L341" s="20" t="str">
        <x:f>_xlfn.IFNA(VLOOKUP(_xlfn.CONCAT("T",L$1,"V",$D341,"A",$A341),Vulnerabilities!$G:$G,1,FALSE),"")</x:f>
      </x:c>
      <x:c r="M341" s="20" t="str">
        <x:f>_xlfn.IFNA(VLOOKUP(_xlfn.CONCAT("T",M$1,"V",$D341,"A",$A341),Vulnerabilities!$G:$G,1,FALSE),"")</x:f>
      </x:c>
      <x:c r="N341" s="20" t="str">
        <x:f>_xlfn.IFNA(VLOOKUP(_xlfn.CONCAT("T",N$1,"V",$D341,"A",$A341),Vulnerabilities!$G:$G,1,FALSE),"")</x:f>
      </x:c>
      <x:c r="O341" s="20" t="str">
        <x:f>_xlfn.IFNA(VLOOKUP(_xlfn.CONCAT("T",O$1,"V",$D341,"A",$A341),Vulnerabilities!$G:$G,1,FALSE),"")</x:f>
      </x:c>
      <x:c r="P341" s="16" t="str">
        <x:f>_xlfn.IFNA(VLOOKUP(_xlfn.CONCAT("T",P$1,"V",$D341,"A",$A341),Vulnerabilities!$G:$G,1,FALSE),"")</x:f>
      </x:c>
    </x:row>
    <x:row r="342">
      <x:c r="A342" s="11">
        <x:f t="shared" si="5"/>
        <x:v>85</x:v>
      </x:c>
      <x:c r="B342" s="12" t="str">
        <x:f>IF(VLOOKUP($A342,Assets!$A:$C,2,FALSE)=0,"",VLOOKUP($A342,Assets!$A:$C,2,FALSE))</x:f>
      </x:c>
      <x:c r="C342" s="12" t="str">
        <x:f>IF(VLOOKUP($A342,Assets!$A:$C,3,FALSE)=0,"",VLOOKUP($A342,Assets!$A:$C,3,FALSE))</x:f>
      </x:c>
      <x:c r="D342" s="17">
        <x:v>4</x:v>
      </x:c>
      <x:c r="E342" s="21" t="str">
        <x:f>_xlfn.IFNA(VLOOKUP(_xlfn.CONCAT("T",E$1,"V",$D342,"A",$A342),Vulnerabilities!$G:$G,1,FALSE),"")</x:f>
      </x:c>
      <x:c r="F342" s="21" t="str">
        <x:f>_xlfn.IFNA(VLOOKUP(_xlfn.CONCAT("T",F$1,"V",$D342,"A",$A342),Vulnerabilities!$G:$G,1,FALSE),"")</x:f>
      </x:c>
      <x:c r="G342" s="21" t="str">
        <x:f>_xlfn.IFNA(VLOOKUP(_xlfn.CONCAT("T",G$1,"V",$D342,"A",$A342),Vulnerabilities!$G:$G,1,FALSE),"")</x:f>
      </x:c>
      <x:c r="H342" s="21" t="str">
        <x:f>_xlfn.IFNA(VLOOKUP(_xlfn.CONCAT("T",H$1,"V",$D342,"A",$A342),Vulnerabilities!$G:$G,1,FALSE),"")</x:f>
      </x:c>
      <x:c r="I342" s="21" t="str">
        <x:f>_xlfn.IFNA(VLOOKUP(_xlfn.CONCAT("T",I$1,"V",$D342,"A",$A342),Vulnerabilities!$G:$G,1,FALSE),"")</x:f>
      </x:c>
      <x:c r="J342" s="21" t="str">
        <x:f>_xlfn.IFNA(VLOOKUP(_xlfn.CONCAT("T",J$1,"V",$D342,"A",$A342),Vulnerabilities!$G:$G,1,FALSE),"")</x:f>
      </x:c>
      <x:c r="K342" s="21" t="str">
        <x:f>_xlfn.IFNA(VLOOKUP(_xlfn.CONCAT("T",K$1,"V",$D342,"A",$A342),Vulnerabilities!$G:$G,1,FALSE),"")</x:f>
      </x:c>
      <x:c r="L342" s="21" t="str">
        <x:f>_xlfn.IFNA(VLOOKUP(_xlfn.CONCAT("T",L$1,"V",$D342,"A",$A342),Vulnerabilities!$G:$G,1,FALSE),"")</x:f>
      </x:c>
      <x:c r="M342" s="21" t="str">
        <x:f>_xlfn.IFNA(VLOOKUP(_xlfn.CONCAT("T",M$1,"V",$D342,"A",$A342),Vulnerabilities!$G:$G,1,FALSE),"")</x:f>
      </x:c>
      <x:c r="N342" s="21" t="str">
        <x:f>_xlfn.IFNA(VLOOKUP(_xlfn.CONCAT("T",N$1,"V",$D342,"A",$A342),Vulnerabilities!$G:$G,1,FALSE),"")</x:f>
      </x:c>
      <x:c r="O342" s="21" t="str">
        <x:f>_xlfn.IFNA(VLOOKUP(_xlfn.CONCAT("T",O$1,"V",$D342,"A",$A342),Vulnerabilities!$G:$G,1,FALSE),"")</x:f>
      </x:c>
      <x:c r="P342" s="17" t="str">
        <x:f>_xlfn.IFNA(VLOOKUP(_xlfn.CONCAT("T",P$1,"V",$D342,"A",$A342),Vulnerabilities!$G:$G,1,FALSE),"")</x:f>
      </x:c>
    </x:row>
    <x:row r="343">
      <x:c r="A343" s="1">
        <x:f t="shared" si="5"/>
        <x:v>86</x:v>
      </x:c>
      <x:c r="B343" t="str">
        <x:f>IF(VLOOKUP($A343,Assets!$A:$C,2,FALSE)=0,"",VLOOKUP($A343,Assets!$A:$C,2,FALSE))</x:f>
      </x:c>
      <x:c r="C343" t="str">
        <x:f>IF(VLOOKUP($A343,Assets!$A:$C,3,FALSE)=0,"",VLOOKUP($A343,Assets!$A:$C,3,FALSE))</x:f>
      </x:c>
      <x:c r="D343" s="16">
        <x:v>1</x:v>
      </x:c>
      <x:c r="E343" s="20" t="str">
        <x:f>_xlfn.IFNA(VLOOKUP(_xlfn.CONCAT("T",E$1,"V",$D343,"A",$A343),Vulnerabilities!$G:$G,1,FALSE),"")</x:f>
      </x:c>
      <x:c r="F343" s="20" t="str">
        <x:f>_xlfn.IFNA(VLOOKUP(_xlfn.CONCAT("T",F$1,"V",$D343,"A",$A343),Vulnerabilities!$G:$G,1,FALSE),"")</x:f>
      </x:c>
      <x:c r="G343" s="20" t="str">
        <x:f>_xlfn.IFNA(VLOOKUP(_xlfn.CONCAT("T",G$1,"V",$D343,"A",$A343),Vulnerabilities!$G:$G,1,FALSE),"")</x:f>
      </x:c>
      <x:c r="H343" s="20" t="str">
        <x:f>_xlfn.IFNA(VLOOKUP(_xlfn.CONCAT("T",H$1,"V",$D343,"A",$A343),Vulnerabilities!$G:$G,1,FALSE),"")</x:f>
      </x:c>
      <x:c r="I343" s="20" t="str">
        <x:f>_xlfn.IFNA(VLOOKUP(_xlfn.CONCAT("T",I$1,"V",$D343,"A",$A343),Vulnerabilities!$G:$G,1,FALSE),"")</x:f>
      </x:c>
      <x:c r="J343" s="20" t="str">
        <x:f>_xlfn.IFNA(VLOOKUP(_xlfn.CONCAT("T",J$1,"V",$D343,"A",$A343),Vulnerabilities!$G:$G,1,FALSE),"")</x:f>
      </x:c>
      <x:c r="K343" s="20" t="str">
        <x:f>_xlfn.IFNA(VLOOKUP(_xlfn.CONCAT("T",K$1,"V",$D343,"A",$A343),Vulnerabilities!$G:$G,1,FALSE),"")</x:f>
      </x:c>
      <x:c r="L343" s="20" t="str">
        <x:f>_xlfn.IFNA(VLOOKUP(_xlfn.CONCAT("T",L$1,"V",$D343,"A",$A343),Vulnerabilities!$G:$G,1,FALSE),"")</x:f>
      </x:c>
      <x:c r="M343" s="20" t="str">
        <x:f>_xlfn.IFNA(VLOOKUP(_xlfn.CONCAT("T",M$1,"V",$D343,"A",$A343),Vulnerabilities!$G:$G,1,FALSE),"")</x:f>
      </x:c>
      <x:c r="N343" s="20" t="str">
        <x:f>_xlfn.IFNA(VLOOKUP(_xlfn.CONCAT("T",N$1,"V",$D343,"A",$A343),Vulnerabilities!$G:$G,1,FALSE),"")</x:f>
      </x:c>
      <x:c r="O343" s="20" t="str">
        <x:f>_xlfn.IFNA(VLOOKUP(_xlfn.CONCAT("T",O$1,"V",$D343,"A",$A343),Vulnerabilities!$G:$G,1,FALSE),"")</x:f>
      </x:c>
      <x:c r="P343" s="16" t="str">
        <x:f>_xlfn.IFNA(VLOOKUP(_xlfn.CONCAT("T",P$1,"V",$D343,"A",$A343),Vulnerabilities!$G:$G,1,FALSE),"")</x:f>
      </x:c>
    </x:row>
    <x:row r="344">
      <x:c r="A344" s="1">
        <x:f t="shared" si="5"/>
        <x:v>86</x:v>
      </x:c>
      <x:c r="B344" t="str">
        <x:f>IF(VLOOKUP($A344,Assets!$A:$C,2,FALSE)=0,"",VLOOKUP($A344,Assets!$A:$C,2,FALSE))</x:f>
      </x:c>
      <x:c r="C344" t="str">
        <x:f>IF(VLOOKUP($A344,Assets!$A:$C,3,FALSE)=0,"",VLOOKUP($A344,Assets!$A:$C,3,FALSE))</x:f>
      </x:c>
      <x:c r="D344" s="16">
        <x:v>2</x:v>
      </x:c>
      <x:c r="E344" s="20" t="str">
        <x:f>_xlfn.IFNA(VLOOKUP(_xlfn.CONCAT("T",E$1,"V",$D344,"A",$A344),Vulnerabilities!$G:$G,1,FALSE),"")</x:f>
      </x:c>
      <x:c r="F344" s="20" t="str">
        <x:f>_xlfn.IFNA(VLOOKUP(_xlfn.CONCAT("T",F$1,"V",$D344,"A",$A344),Vulnerabilities!$G:$G,1,FALSE),"")</x:f>
      </x:c>
      <x:c r="G344" s="20" t="str">
        <x:f>_xlfn.IFNA(VLOOKUP(_xlfn.CONCAT("T",G$1,"V",$D344,"A",$A344),Vulnerabilities!$G:$G,1,FALSE),"")</x:f>
      </x:c>
      <x:c r="H344" s="20" t="str">
        <x:f>_xlfn.IFNA(VLOOKUP(_xlfn.CONCAT("T",H$1,"V",$D344,"A",$A344),Vulnerabilities!$G:$G,1,FALSE),"")</x:f>
      </x:c>
      <x:c r="I344" s="20" t="str">
        <x:f>_xlfn.IFNA(VLOOKUP(_xlfn.CONCAT("T",I$1,"V",$D344,"A",$A344),Vulnerabilities!$G:$G,1,FALSE),"")</x:f>
      </x:c>
      <x:c r="J344" s="20" t="str">
        <x:f>_xlfn.IFNA(VLOOKUP(_xlfn.CONCAT("T",J$1,"V",$D344,"A",$A344),Vulnerabilities!$G:$G,1,FALSE),"")</x:f>
      </x:c>
      <x:c r="K344" s="20" t="str">
        <x:f>_xlfn.IFNA(VLOOKUP(_xlfn.CONCAT("T",K$1,"V",$D344,"A",$A344),Vulnerabilities!$G:$G,1,FALSE),"")</x:f>
      </x:c>
      <x:c r="L344" s="20" t="str">
        <x:f>_xlfn.IFNA(VLOOKUP(_xlfn.CONCAT("T",L$1,"V",$D344,"A",$A344),Vulnerabilities!$G:$G,1,FALSE),"")</x:f>
      </x:c>
      <x:c r="M344" s="20" t="str">
        <x:f>_xlfn.IFNA(VLOOKUP(_xlfn.CONCAT("T",M$1,"V",$D344,"A",$A344),Vulnerabilities!$G:$G,1,FALSE),"")</x:f>
      </x:c>
      <x:c r="N344" s="20" t="str">
        <x:f>_xlfn.IFNA(VLOOKUP(_xlfn.CONCAT("T",N$1,"V",$D344,"A",$A344),Vulnerabilities!$G:$G,1,FALSE),"")</x:f>
      </x:c>
      <x:c r="O344" s="20" t="str">
        <x:f>_xlfn.IFNA(VLOOKUP(_xlfn.CONCAT("T",O$1,"V",$D344,"A",$A344),Vulnerabilities!$G:$G,1,FALSE),"")</x:f>
      </x:c>
      <x:c r="P344" s="16" t="str">
        <x:f>_xlfn.IFNA(VLOOKUP(_xlfn.CONCAT("T",P$1,"V",$D344,"A",$A344),Vulnerabilities!$G:$G,1,FALSE),"")</x:f>
      </x:c>
    </x:row>
    <x:row r="345">
      <x:c r="A345" s="1">
        <x:f t="shared" si="5"/>
        <x:v>86</x:v>
      </x:c>
      <x:c r="B345" t="str">
        <x:f>IF(VLOOKUP($A345,Assets!$A:$C,2,FALSE)=0,"",VLOOKUP($A345,Assets!$A:$C,2,FALSE))</x:f>
      </x:c>
      <x:c r="C345" t="str">
        <x:f>IF(VLOOKUP($A345,Assets!$A:$C,3,FALSE)=0,"",VLOOKUP($A345,Assets!$A:$C,3,FALSE))</x:f>
      </x:c>
      <x:c r="D345" s="16">
        <x:v>3</x:v>
      </x:c>
      <x:c r="E345" s="20" t="str">
        <x:f>_xlfn.IFNA(VLOOKUP(_xlfn.CONCAT("T",E$1,"V",$D345,"A",$A345),Vulnerabilities!$G:$G,1,FALSE),"")</x:f>
      </x:c>
      <x:c r="F345" s="20" t="str">
        <x:f>_xlfn.IFNA(VLOOKUP(_xlfn.CONCAT("T",F$1,"V",$D345,"A",$A345),Vulnerabilities!$G:$G,1,FALSE),"")</x:f>
      </x:c>
      <x:c r="G345" s="20" t="str">
        <x:f>_xlfn.IFNA(VLOOKUP(_xlfn.CONCAT("T",G$1,"V",$D345,"A",$A345),Vulnerabilities!$G:$G,1,FALSE),"")</x:f>
      </x:c>
      <x:c r="H345" s="20" t="str">
        <x:f>_xlfn.IFNA(VLOOKUP(_xlfn.CONCAT("T",H$1,"V",$D345,"A",$A345),Vulnerabilities!$G:$G,1,FALSE),"")</x:f>
      </x:c>
      <x:c r="I345" s="20" t="str">
        <x:f>_xlfn.IFNA(VLOOKUP(_xlfn.CONCAT("T",I$1,"V",$D345,"A",$A345),Vulnerabilities!$G:$G,1,FALSE),"")</x:f>
      </x:c>
      <x:c r="J345" s="20" t="str">
        <x:f>_xlfn.IFNA(VLOOKUP(_xlfn.CONCAT("T",J$1,"V",$D345,"A",$A345),Vulnerabilities!$G:$G,1,FALSE),"")</x:f>
      </x:c>
      <x:c r="K345" s="20" t="str">
        <x:f>_xlfn.IFNA(VLOOKUP(_xlfn.CONCAT("T",K$1,"V",$D345,"A",$A345),Vulnerabilities!$G:$G,1,FALSE),"")</x:f>
      </x:c>
      <x:c r="L345" s="20" t="str">
        <x:f>_xlfn.IFNA(VLOOKUP(_xlfn.CONCAT("T",L$1,"V",$D345,"A",$A345),Vulnerabilities!$G:$G,1,FALSE),"")</x:f>
      </x:c>
      <x:c r="M345" s="20" t="str">
        <x:f>_xlfn.IFNA(VLOOKUP(_xlfn.CONCAT("T",M$1,"V",$D345,"A",$A345),Vulnerabilities!$G:$G,1,FALSE),"")</x:f>
      </x:c>
      <x:c r="N345" s="20" t="str">
        <x:f>_xlfn.IFNA(VLOOKUP(_xlfn.CONCAT("T",N$1,"V",$D345,"A",$A345),Vulnerabilities!$G:$G,1,FALSE),"")</x:f>
      </x:c>
      <x:c r="O345" s="20" t="str">
        <x:f>_xlfn.IFNA(VLOOKUP(_xlfn.CONCAT("T",O$1,"V",$D345,"A",$A345),Vulnerabilities!$G:$G,1,FALSE),"")</x:f>
      </x:c>
      <x:c r="P345" s="16" t="str">
        <x:f>_xlfn.IFNA(VLOOKUP(_xlfn.CONCAT("T",P$1,"V",$D345,"A",$A345),Vulnerabilities!$G:$G,1,FALSE),"")</x:f>
      </x:c>
    </x:row>
    <x:row r="346">
      <x:c r="A346" s="11">
        <x:f t="shared" si="5"/>
        <x:v>86</x:v>
      </x:c>
      <x:c r="B346" s="12" t="str">
        <x:f>IF(VLOOKUP($A346,Assets!$A:$C,2,FALSE)=0,"",VLOOKUP($A346,Assets!$A:$C,2,FALSE))</x:f>
      </x:c>
      <x:c r="C346" s="12" t="str">
        <x:f>IF(VLOOKUP($A346,Assets!$A:$C,3,FALSE)=0,"",VLOOKUP($A346,Assets!$A:$C,3,FALSE))</x:f>
      </x:c>
      <x:c r="D346" s="17">
        <x:v>4</x:v>
      </x:c>
      <x:c r="E346" s="21" t="str">
        <x:f>_xlfn.IFNA(VLOOKUP(_xlfn.CONCAT("T",E$1,"V",$D346,"A",$A346),Vulnerabilities!$G:$G,1,FALSE),"")</x:f>
      </x:c>
      <x:c r="F346" s="21" t="str">
        <x:f>_xlfn.IFNA(VLOOKUP(_xlfn.CONCAT("T",F$1,"V",$D346,"A",$A346),Vulnerabilities!$G:$G,1,FALSE),"")</x:f>
      </x:c>
      <x:c r="G346" s="21" t="str">
        <x:f>_xlfn.IFNA(VLOOKUP(_xlfn.CONCAT("T",G$1,"V",$D346,"A",$A346),Vulnerabilities!$G:$G,1,FALSE),"")</x:f>
      </x:c>
      <x:c r="H346" s="21" t="str">
        <x:f>_xlfn.IFNA(VLOOKUP(_xlfn.CONCAT("T",H$1,"V",$D346,"A",$A346),Vulnerabilities!$G:$G,1,FALSE),"")</x:f>
      </x:c>
      <x:c r="I346" s="21" t="str">
        <x:f>_xlfn.IFNA(VLOOKUP(_xlfn.CONCAT("T",I$1,"V",$D346,"A",$A346),Vulnerabilities!$G:$G,1,FALSE),"")</x:f>
      </x:c>
      <x:c r="J346" s="21" t="str">
        <x:f>_xlfn.IFNA(VLOOKUP(_xlfn.CONCAT("T",J$1,"V",$D346,"A",$A346),Vulnerabilities!$G:$G,1,FALSE),"")</x:f>
      </x:c>
      <x:c r="K346" s="21" t="str">
        <x:f>_xlfn.IFNA(VLOOKUP(_xlfn.CONCAT("T",K$1,"V",$D346,"A",$A346),Vulnerabilities!$G:$G,1,FALSE),"")</x:f>
      </x:c>
      <x:c r="L346" s="21" t="str">
        <x:f>_xlfn.IFNA(VLOOKUP(_xlfn.CONCAT("T",L$1,"V",$D346,"A",$A346),Vulnerabilities!$G:$G,1,FALSE),"")</x:f>
      </x:c>
      <x:c r="M346" s="21" t="str">
        <x:f>_xlfn.IFNA(VLOOKUP(_xlfn.CONCAT("T",M$1,"V",$D346,"A",$A346),Vulnerabilities!$G:$G,1,FALSE),"")</x:f>
      </x:c>
      <x:c r="N346" s="21" t="str">
        <x:f>_xlfn.IFNA(VLOOKUP(_xlfn.CONCAT("T",N$1,"V",$D346,"A",$A346),Vulnerabilities!$G:$G,1,FALSE),"")</x:f>
      </x:c>
      <x:c r="O346" s="21" t="str">
        <x:f>_xlfn.IFNA(VLOOKUP(_xlfn.CONCAT("T",O$1,"V",$D346,"A",$A346),Vulnerabilities!$G:$G,1,FALSE),"")</x:f>
      </x:c>
      <x:c r="P346" s="17" t="str">
        <x:f>_xlfn.IFNA(VLOOKUP(_xlfn.CONCAT("T",P$1,"V",$D346,"A",$A346),Vulnerabilities!$G:$G,1,FALSE),"")</x:f>
      </x:c>
    </x:row>
    <x:row r="347">
      <x:c r="A347" s="1" t="n">
        <x:f t="shared" ref="A347:A402" si="6">A343+1</x:f>
        <x:v>87</x:v>
      </x:c>
      <x:c r="B347" t="str">
        <x:f>IF(VLOOKUP($A347,Assets!$A:$C,2,FALSE)=0,"",VLOOKUP($A347,Assets!$A:$C,2,FALSE))</x:f>
      </x:c>
      <x:c r="C347" t="str">
        <x:f>IF(VLOOKUP($A347,Assets!$A:$C,3,FALSE)=0,"",VLOOKUP($A347,Assets!$A:$C,3,FALSE))</x:f>
      </x:c>
      <x:c r="D347" s="16">
        <x:v>1</x:v>
      </x:c>
      <x:c r="E347" s="20" t="str">
        <x:f>_xlfn.IFNA(VLOOKUP(_xlfn.CONCAT("T",E$1,"V",$D347,"A",$A347),Vulnerabilities!$G:$G,1,FALSE),"")</x:f>
      </x:c>
      <x:c r="F347" s="20" t="str">
        <x:f>_xlfn.IFNA(VLOOKUP(_xlfn.CONCAT("T",F$1,"V",$D347,"A",$A347),Vulnerabilities!$G:$G,1,FALSE),"")</x:f>
      </x:c>
      <x:c r="G347" s="20" t="str">
        <x:f>_xlfn.IFNA(VLOOKUP(_xlfn.CONCAT("T",G$1,"V",$D347,"A",$A347),Vulnerabilities!$G:$G,1,FALSE),"")</x:f>
      </x:c>
      <x:c r="H347" s="20" t="str">
        <x:f>_xlfn.IFNA(VLOOKUP(_xlfn.CONCAT("T",H$1,"V",$D347,"A",$A347),Vulnerabilities!$G:$G,1,FALSE),"")</x:f>
      </x:c>
      <x:c r="I347" s="20" t="str">
        <x:f>_xlfn.IFNA(VLOOKUP(_xlfn.CONCAT("T",I$1,"V",$D347,"A",$A347),Vulnerabilities!$G:$G,1,FALSE),"")</x:f>
      </x:c>
      <x:c r="J347" s="20" t="str">
        <x:f>_xlfn.IFNA(VLOOKUP(_xlfn.CONCAT("T",J$1,"V",$D347,"A",$A347),Vulnerabilities!$G:$G,1,FALSE),"")</x:f>
      </x:c>
      <x:c r="K347" s="20" t="str">
        <x:f>_xlfn.IFNA(VLOOKUP(_xlfn.CONCAT("T",K$1,"V",$D347,"A",$A347),Vulnerabilities!$G:$G,1,FALSE),"")</x:f>
      </x:c>
      <x:c r="L347" s="20" t="str">
        <x:f>_xlfn.IFNA(VLOOKUP(_xlfn.CONCAT("T",L$1,"V",$D347,"A",$A347),Vulnerabilities!$G:$G,1,FALSE),"")</x:f>
      </x:c>
      <x:c r="M347" s="20" t="str">
        <x:f>_xlfn.IFNA(VLOOKUP(_xlfn.CONCAT("T",M$1,"V",$D347,"A",$A347),Vulnerabilities!$G:$G,1,FALSE),"")</x:f>
      </x:c>
      <x:c r="N347" s="20" t="str">
        <x:f>_xlfn.IFNA(VLOOKUP(_xlfn.CONCAT("T",N$1,"V",$D347,"A",$A347),Vulnerabilities!$G:$G,1,FALSE),"")</x:f>
      </x:c>
      <x:c r="O347" s="20" t="str">
        <x:f>_xlfn.IFNA(VLOOKUP(_xlfn.CONCAT("T",O$1,"V",$D347,"A",$A347),Vulnerabilities!$G:$G,1,FALSE),"")</x:f>
      </x:c>
      <x:c r="P347" s="16" t="str">
        <x:f>_xlfn.IFNA(VLOOKUP(_xlfn.CONCAT("T",P$1,"V",$D347,"A",$A347),Vulnerabilities!$G:$G,1,FALSE),"")</x:f>
      </x:c>
    </x:row>
    <x:row r="348">
      <x:c r="A348" s="1">
        <x:f t="shared" si="6"/>
        <x:v>87</x:v>
      </x:c>
      <x:c r="B348" t="str">
        <x:f>IF(VLOOKUP($A348,Assets!$A:$C,2,FALSE)=0,"",VLOOKUP($A348,Assets!$A:$C,2,FALSE))</x:f>
      </x:c>
      <x:c r="C348" t="str">
        <x:f>IF(VLOOKUP($A348,Assets!$A:$C,3,FALSE)=0,"",VLOOKUP($A348,Assets!$A:$C,3,FALSE))</x:f>
      </x:c>
      <x:c r="D348" s="16">
        <x:v>2</x:v>
      </x:c>
      <x:c r="E348" s="20" t="str">
        <x:f>_xlfn.IFNA(VLOOKUP(_xlfn.CONCAT("T",E$1,"V",$D348,"A",$A348),Vulnerabilities!$G:$G,1,FALSE),"")</x:f>
      </x:c>
      <x:c r="F348" s="20" t="str">
        <x:f>_xlfn.IFNA(VLOOKUP(_xlfn.CONCAT("T",F$1,"V",$D348,"A",$A348),Vulnerabilities!$G:$G,1,FALSE),"")</x:f>
      </x:c>
      <x:c r="G348" s="20" t="str">
        <x:f>_xlfn.IFNA(VLOOKUP(_xlfn.CONCAT("T",G$1,"V",$D348,"A",$A348),Vulnerabilities!$G:$G,1,FALSE),"")</x:f>
      </x:c>
      <x:c r="H348" s="20" t="str">
        <x:f>_xlfn.IFNA(VLOOKUP(_xlfn.CONCAT("T",H$1,"V",$D348,"A",$A348),Vulnerabilities!$G:$G,1,FALSE),"")</x:f>
      </x:c>
      <x:c r="I348" s="20" t="str">
        <x:f>_xlfn.IFNA(VLOOKUP(_xlfn.CONCAT("T",I$1,"V",$D348,"A",$A348),Vulnerabilities!$G:$G,1,FALSE),"")</x:f>
      </x:c>
      <x:c r="J348" s="20" t="str">
        <x:f>_xlfn.IFNA(VLOOKUP(_xlfn.CONCAT("T",J$1,"V",$D348,"A",$A348),Vulnerabilities!$G:$G,1,FALSE),"")</x:f>
      </x:c>
      <x:c r="K348" s="20" t="str">
        <x:f>_xlfn.IFNA(VLOOKUP(_xlfn.CONCAT("T",K$1,"V",$D348,"A",$A348),Vulnerabilities!$G:$G,1,FALSE),"")</x:f>
      </x:c>
      <x:c r="L348" s="20" t="str">
        <x:f>_xlfn.IFNA(VLOOKUP(_xlfn.CONCAT("T",L$1,"V",$D348,"A",$A348),Vulnerabilities!$G:$G,1,FALSE),"")</x:f>
      </x:c>
      <x:c r="M348" s="20" t="str">
        <x:f>_xlfn.IFNA(VLOOKUP(_xlfn.CONCAT("T",M$1,"V",$D348,"A",$A348),Vulnerabilities!$G:$G,1,FALSE),"")</x:f>
      </x:c>
      <x:c r="N348" s="20" t="str">
        <x:f>_xlfn.IFNA(VLOOKUP(_xlfn.CONCAT("T",N$1,"V",$D348,"A",$A348),Vulnerabilities!$G:$G,1,FALSE),"")</x:f>
      </x:c>
      <x:c r="O348" s="20" t="str">
        <x:f>_xlfn.IFNA(VLOOKUP(_xlfn.CONCAT("T",O$1,"V",$D348,"A",$A348),Vulnerabilities!$G:$G,1,FALSE),"")</x:f>
      </x:c>
      <x:c r="P348" s="16" t="str">
        <x:f>_xlfn.IFNA(VLOOKUP(_xlfn.CONCAT("T",P$1,"V",$D348,"A",$A348),Vulnerabilities!$G:$G,1,FALSE),"")</x:f>
      </x:c>
    </x:row>
    <x:row r="349">
      <x:c r="A349" s="1">
        <x:f t="shared" si="6"/>
        <x:v>87</x:v>
      </x:c>
      <x:c r="B349" t="str">
        <x:f>IF(VLOOKUP($A349,Assets!$A:$C,2,FALSE)=0,"",VLOOKUP($A349,Assets!$A:$C,2,FALSE))</x:f>
      </x:c>
      <x:c r="C349" t="str">
        <x:f>IF(VLOOKUP($A349,Assets!$A:$C,3,FALSE)=0,"",VLOOKUP($A349,Assets!$A:$C,3,FALSE))</x:f>
      </x:c>
      <x:c r="D349" s="16">
        <x:v>3</x:v>
      </x:c>
      <x:c r="E349" s="20" t="str">
        <x:f>_xlfn.IFNA(VLOOKUP(_xlfn.CONCAT("T",E$1,"V",$D349,"A",$A349),Vulnerabilities!$G:$G,1,FALSE),"")</x:f>
      </x:c>
      <x:c r="F349" s="20" t="str">
        <x:f>_xlfn.IFNA(VLOOKUP(_xlfn.CONCAT("T",F$1,"V",$D349,"A",$A349),Vulnerabilities!$G:$G,1,FALSE),"")</x:f>
      </x:c>
      <x:c r="G349" s="20" t="str">
        <x:f>_xlfn.IFNA(VLOOKUP(_xlfn.CONCAT("T",G$1,"V",$D349,"A",$A349),Vulnerabilities!$G:$G,1,FALSE),"")</x:f>
      </x:c>
      <x:c r="H349" s="20" t="str">
        <x:f>_xlfn.IFNA(VLOOKUP(_xlfn.CONCAT("T",H$1,"V",$D349,"A",$A349),Vulnerabilities!$G:$G,1,FALSE),"")</x:f>
      </x:c>
      <x:c r="I349" s="20" t="str">
        <x:f>_xlfn.IFNA(VLOOKUP(_xlfn.CONCAT("T",I$1,"V",$D349,"A",$A349),Vulnerabilities!$G:$G,1,FALSE),"")</x:f>
      </x:c>
      <x:c r="J349" s="20" t="str">
        <x:f>_xlfn.IFNA(VLOOKUP(_xlfn.CONCAT("T",J$1,"V",$D349,"A",$A349),Vulnerabilities!$G:$G,1,FALSE),"")</x:f>
      </x:c>
      <x:c r="K349" s="20" t="str">
        <x:f>_xlfn.IFNA(VLOOKUP(_xlfn.CONCAT("T",K$1,"V",$D349,"A",$A349),Vulnerabilities!$G:$G,1,FALSE),"")</x:f>
      </x:c>
      <x:c r="L349" s="20" t="str">
        <x:f>_xlfn.IFNA(VLOOKUP(_xlfn.CONCAT("T",L$1,"V",$D349,"A",$A349),Vulnerabilities!$G:$G,1,FALSE),"")</x:f>
      </x:c>
      <x:c r="M349" s="20" t="str">
        <x:f>_xlfn.IFNA(VLOOKUP(_xlfn.CONCAT("T",M$1,"V",$D349,"A",$A349),Vulnerabilities!$G:$G,1,FALSE),"")</x:f>
      </x:c>
      <x:c r="N349" s="20" t="str">
        <x:f>_xlfn.IFNA(VLOOKUP(_xlfn.CONCAT("T",N$1,"V",$D349,"A",$A349),Vulnerabilities!$G:$G,1,FALSE),"")</x:f>
      </x:c>
      <x:c r="O349" s="20" t="str">
        <x:f>_xlfn.IFNA(VLOOKUP(_xlfn.CONCAT("T",O$1,"V",$D349,"A",$A349),Vulnerabilities!$G:$G,1,FALSE),"")</x:f>
      </x:c>
      <x:c r="P349" s="16" t="str">
        <x:f>_xlfn.IFNA(VLOOKUP(_xlfn.CONCAT("T",P$1,"V",$D349,"A",$A349),Vulnerabilities!$G:$G,1,FALSE),"")</x:f>
      </x:c>
    </x:row>
    <x:row r="350">
      <x:c r="A350" s="11">
        <x:f t="shared" si="6"/>
        <x:v>87</x:v>
      </x:c>
      <x:c r="B350" s="12" t="str">
        <x:f>IF(VLOOKUP($A350,Assets!$A:$C,2,FALSE)=0,"",VLOOKUP($A350,Assets!$A:$C,2,FALSE))</x:f>
      </x:c>
      <x:c r="C350" s="12" t="str">
        <x:f>IF(VLOOKUP($A350,Assets!$A:$C,3,FALSE)=0,"",VLOOKUP($A350,Assets!$A:$C,3,FALSE))</x:f>
      </x:c>
      <x:c r="D350" s="17">
        <x:v>4</x:v>
      </x:c>
      <x:c r="E350" s="21" t="str">
        <x:f>_xlfn.IFNA(VLOOKUP(_xlfn.CONCAT("T",E$1,"V",$D350,"A",$A350),Vulnerabilities!$G:$G,1,FALSE),"")</x:f>
      </x:c>
      <x:c r="F350" s="21" t="str">
        <x:f>_xlfn.IFNA(VLOOKUP(_xlfn.CONCAT("T",F$1,"V",$D350,"A",$A350),Vulnerabilities!$G:$G,1,FALSE),"")</x:f>
      </x:c>
      <x:c r="G350" s="21" t="str">
        <x:f>_xlfn.IFNA(VLOOKUP(_xlfn.CONCAT("T",G$1,"V",$D350,"A",$A350),Vulnerabilities!$G:$G,1,FALSE),"")</x:f>
      </x:c>
      <x:c r="H350" s="21" t="str">
        <x:f>_xlfn.IFNA(VLOOKUP(_xlfn.CONCAT("T",H$1,"V",$D350,"A",$A350),Vulnerabilities!$G:$G,1,FALSE),"")</x:f>
      </x:c>
      <x:c r="I350" s="21" t="str">
        <x:f>_xlfn.IFNA(VLOOKUP(_xlfn.CONCAT("T",I$1,"V",$D350,"A",$A350),Vulnerabilities!$G:$G,1,FALSE),"")</x:f>
      </x:c>
      <x:c r="J350" s="21" t="str">
        <x:f>_xlfn.IFNA(VLOOKUP(_xlfn.CONCAT("T",J$1,"V",$D350,"A",$A350),Vulnerabilities!$G:$G,1,FALSE),"")</x:f>
      </x:c>
      <x:c r="K350" s="21" t="str">
        <x:f>_xlfn.IFNA(VLOOKUP(_xlfn.CONCAT("T",K$1,"V",$D350,"A",$A350),Vulnerabilities!$G:$G,1,FALSE),"")</x:f>
      </x:c>
      <x:c r="L350" s="21" t="str">
        <x:f>_xlfn.IFNA(VLOOKUP(_xlfn.CONCAT("T",L$1,"V",$D350,"A",$A350),Vulnerabilities!$G:$G,1,FALSE),"")</x:f>
      </x:c>
      <x:c r="M350" s="21" t="str">
        <x:f>_xlfn.IFNA(VLOOKUP(_xlfn.CONCAT("T",M$1,"V",$D350,"A",$A350),Vulnerabilities!$G:$G,1,FALSE),"")</x:f>
      </x:c>
      <x:c r="N350" s="21" t="str">
        <x:f>_xlfn.IFNA(VLOOKUP(_xlfn.CONCAT("T",N$1,"V",$D350,"A",$A350),Vulnerabilities!$G:$G,1,FALSE),"")</x:f>
      </x:c>
      <x:c r="O350" s="21" t="str">
        <x:f>_xlfn.IFNA(VLOOKUP(_xlfn.CONCAT("T",O$1,"V",$D350,"A",$A350),Vulnerabilities!$G:$G,1,FALSE),"")</x:f>
      </x:c>
      <x:c r="P350" s="17" t="str">
        <x:f>_xlfn.IFNA(VLOOKUP(_xlfn.CONCAT("T",P$1,"V",$D350,"A",$A350),Vulnerabilities!$G:$G,1,FALSE),"")</x:f>
      </x:c>
    </x:row>
    <x:row r="351">
      <x:c r="A351" s="1">
        <x:f t="shared" si="6"/>
        <x:v>88</x:v>
      </x:c>
      <x:c r="B351" t="str">
        <x:f>IF(VLOOKUP($A351,Assets!$A:$C,2,FALSE)=0,"",VLOOKUP($A351,Assets!$A:$C,2,FALSE))</x:f>
      </x:c>
      <x:c r="C351" t="str">
        <x:f>IF(VLOOKUP($A351,Assets!$A:$C,3,FALSE)=0,"",VLOOKUP($A351,Assets!$A:$C,3,FALSE))</x:f>
      </x:c>
      <x:c r="D351" s="16">
        <x:v>1</x:v>
      </x:c>
      <x:c r="E351" s="20" t="str">
        <x:f>_xlfn.IFNA(VLOOKUP(_xlfn.CONCAT("T",E$1,"V",$D351,"A",$A351),Vulnerabilities!$G:$G,1,FALSE),"")</x:f>
      </x:c>
      <x:c r="F351" s="20" t="str">
        <x:f>_xlfn.IFNA(VLOOKUP(_xlfn.CONCAT("T",F$1,"V",$D351,"A",$A351),Vulnerabilities!$G:$G,1,FALSE),"")</x:f>
      </x:c>
      <x:c r="G351" s="20" t="str">
        <x:f>_xlfn.IFNA(VLOOKUP(_xlfn.CONCAT("T",G$1,"V",$D351,"A",$A351),Vulnerabilities!$G:$G,1,FALSE),"")</x:f>
      </x:c>
      <x:c r="H351" s="20" t="str">
        <x:f>_xlfn.IFNA(VLOOKUP(_xlfn.CONCAT("T",H$1,"V",$D351,"A",$A351),Vulnerabilities!$G:$G,1,FALSE),"")</x:f>
      </x:c>
      <x:c r="I351" s="20" t="str">
        <x:f>_xlfn.IFNA(VLOOKUP(_xlfn.CONCAT("T",I$1,"V",$D351,"A",$A351),Vulnerabilities!$G:$G,1,FALSE),"")</x:f>
      </x:c>
      <x:c r="J351" s="20" t="str">
        <x:f>_xlfn.IFNA(VLOOKUP(_xlfn.CONCAT("T",J$1,"V",$D351,"A",$A351),Vulnerabilities!$G:$G,1,FALSE),"")</x:f>
      </x:c>
      <x:c r="K351" s="20" t="str">
        <x:f>_xlfn.IFNA(VLOOKUP(_xlfn.CONCAT("T",K$1,"V",$D351,"A",$A351),Vulnerabilities!$G:$G,1,FALSE),"")</x:f>
      </x:c>
      <x:c r="L351" s="20" t="str">
        <x:f>_xlfn.IFNA(VLOOKUP(_xlfn.CONCAT("T",L$1,"V",$D351,"A",$A351),Vulnerabilities!$G:$G,1,FALSE),"")</x:f>
      </x:c>
      <x:c r="M351" s="20" t="str">
        <x:f>_xlfn.IFNA(VLOOKUP(_xlfn.CONCAT("T",M$1,"V",$D351,"A",$A351),Vulnerabilities!$G:$G,1,FALSE),"")</x:f>
      </x:c>
      <x:c r="N351" s="20" t="str">
        <x:f>_xlfn.IFNA(VLOOKUP(_xlfn.CONCAT("T",N$1,"V",$D351,"A",$A351),Vulnerabilities!$G:$G,1,FALSE),"")</x:f>
      </x:c>
      <x:c r="O351" s="20" t="str">
        <x:f>_xlfn.IFNA(VLOOKUP(_xlfn.CONCAT("T",O$1,"V",$D351,"A",$A351),Vulnerabilities!$G:$G,1,FALSE),"")</x:f>
      </x:c>
      <x:c r="P351" s="16" t="str">
        <x:f>_xlfn.IFNA(VLOOKUP(_xlfn.CONCAT("T",P$1,"V",$D351,"A",$A351),Vulnerabilities!$G:$G,1,FALSE),"")</x:f>
      </x:c>
    </x:row>
    <x:row r="352">
      <x:c r="A352" s="1">
        <x:f t="shared" si="6"/>
        <x:v>88</x:v>
      </x:c>
      <x:c r="B352" t="str">
        <x:f>IF(VLOOKUP($A352,Assets!$A:$C,2,FALSE)=0,"",VLOOKUP($A352,Assets!$A:$C,2,FALSE))</x:f>
      </x:c>
      <x:c r="C352" t="str">
        <x:f>IF(VLOOKUP($A352,Assets!$A:$C,3,FALSE)=0,"",VLOOKUP($A352,Assets!$A:$C,3,FALSE))</x:f>
      </x:c>
      <x:c r="D352" s="16">
        <x:v>2</x:v>
      </x:c>
      <x:c r="E352" s="20" t="str">
        <x:f>_xlfn.IFNA(VLOOKUP(_xlfn.CONCAT("T",E$1,"V",$D352,"A",$A352),Vulnerabilities!$G:$G,1,FALSE),"")</x:f>
      </x:c>
      <x:c r="F352" s="20" t="str">
        <x:f>_xlfn.IFNA(VLOOKUP(_xlfn.CONCAT("T",F$1,"V",$D352,"A",$A352),Vulnerabilities!$G:$G,1,FALSE),"")</x:f>
      </x:c>
      <x:c r="G352" s="20" t="str">
        <x:f>_xlfn.IFNA(VLOOKUP(_xlfn.CONCAT("T",G$1,"V",$D352,"A",$A352),Vulnerabilities!$G:$G,1,FALSE),"")</x:f>
      </x:c>
      <x:c r="H352" s="20" t="str">
        <x:f>_xlfn.IFNA(VLOOKUP(_xlfn.CONCAT("T",H$1,"V",$D352,"A",$A352),Vulnerabilities!$G:$G,1,FALSE),"")</x:f>
      </x:c>
      <x:c r="I352" s="20" t="str">
        <x:f>_xlfn.IFNA(VLOOKUP(_xlfn.CONCAT("T",I$1,"V",$D352,"A",$A352),Vulnerabilities!$G:$G,1,FALSE),"")</x:f>
      </x:c>
      <x:c r="J352" s="20" t="str">
        <x:f>_xlfn.IFNA(VLOOKUP(_xlfn.CONCAT("T",J$1,"V",$D352,"A",$A352),Vulnerabilities!$G:$G,1,FALSE),"")</x:f>
      </x:c>
      <x:c r="K352" s="20" t="str">
        <x:f>_xlfn.IFNA(VLOOKUP(_xlfn.CONCAT("T",K$1,"V",$D352,"A",$A352),Vulnerabilities!$G:$G,1,FALSE),"")</x:f>
      </x:c>
      <x:c r="L352" s="20" t="str">
        <x:f>_xlfn.IFNA(VLOOKUP(_xlfn.CONCAT("T",L$1,"V",$D352,"A",$A352),Vulnerabilities!$G:$G,1,FALSE),"")</x:f>
      </x:c>
      <x:c r="M352" s="20" t="str">
        <x:f>_xlfn.IFNA(VLOOKUP(_xlfn.CONCAT("T",M$1,"V",$D352,"A",$A352),Vulnerabilities!$G:$G,1,FALSE),"")</x:f>
      </x:c>
      <x:c r="N352" s="20" t="str">
        <x:f>_xlfn.IFNA(VLOOKUP(_xlfn.CONCAT("T",N$1,"V",$D352,"A",$A352),Vulnerabilities!$G:$G,1,FALSE),"")</x:f>
      </x:c>
      <x:c r="O352" s="20" t="str">
        <x:f>_xlfn.IFNA(VLOOKUP(_xlfn.CONCAT("T",O$1,"V",$D352,"A",$A352),Vulnerabilities!$G:$G,1,FALSE),"")</x:f>
      </x:c>
      <x:c r="P352" s="16" t="str">
        <x:f>_xlfn.IFNA(VLOOKUP(_xlfn.CONCAT("T",P$1,"V",$D352,"A",$A352),Vulnerabilities!$G:$G,1,FALSE),"")</x:f>
      </x:c>
    </x:row>
    <x:row r="353">
      <x:c r="A353" s="1">
        <x:f t="shared" si="6"/>
        <x:v>88</x:v>
      </x:c>
      <x:c r="B353" t="str">
        <x:f>IF(VLOOKUP($A353,Assets!$A:$C,2,FALSE)=0,"",VLOOKUP($A353,Assets!$A:$C,2,FALSE))</x:f>
      </x:c>
      <x:c r="C353" t="str">
        <x:f>IF(VLOOKUP($A353,Assets!$A:$C,3,FALSE)=0,"",VLOOKUP($A353,Assets!$A:$C,3,FALSE))</x:f>
      </x:c>
      <x:c r="D353" s="16">
        <x:v>3</x:v>
      </x:c>
      <x:c r="E353" s="20" t="str">
        <x:f>_xlfn.IFNA(VLOOKUP(_xlfn.CONCAT("T",E$1,"V",$D353,"A",$A353),Vulnerabilities!$G:$G,1,FALSE),"")</x:f>
      </x:c>
      <x:c r="F353" s="20" t="str">
        <x:f>_xlfn.IFNA(VLOOKUP(_xlfn.CONCAT("T",F$1,"V",$D353,"A",$A353),Vulnerabilities!$G:$G,1,FALSE),"")</x:f>
      </x:c>
      <x:c r="G353" s="20" t="str">
        <x:f>_xlfn.IFNA(VLOOKUP(_xlfn.CONCAT("T",G$1,"V",$D353,"A",$A353),Vulnerabilities!$G:$G,1,FALSE),"")</x:f>
      </x:c>
      <x:c r="H353" s="20" t="str">
        <x:f>_xlfn.IFNA(VLOOKUP(_xlfn.CONCAT("T",H$1,"V",$D353,"A",$A353),Vulnerabilities!$G:$G,1,FALSE),"")</x:f>
      </x:c>
      <x:c r="I353" s="20" t="str">
        <x:f>_xlfn.IFNA(VLOOKUP(_xlfn.CONCAT("T",I$1,"V",$D353,"A",$A353),Vulnerabilities!$G:$G,1,FALSE),"")</x:f>
      </x:c>
      <x:c r="J353" s="20" t="str">
        <x:f>_xlfn.IFNA(VLOOKUP(_xlfn.CONCAT("T",J$1,"V",$D353,"A",$A353),Vulnerabilities!$G:$G,1,FALSE),"")</x:f>
      </x:c>
      <x:c r="K353" s="20" t="str">
        <x:f>_xlfn.IFNA(VLOOKUP(_xlfn.CONCAT("T",K$1,"V",$D353,"A",$A353),Vulnerabilities!$G:$G,1,FALSE),"")</x:f>
      </x:c>
      <x:c r="L353" s="20" t="str">
        <x:f>_xlfn.IFNA(VLOOKUP(_xlfn.CONCAT("T",L$1,"V",$D353,"A",$A353),Vulnerabilities!$G:$G,1,FALSE),"")</x:f>
      </x:c>
      <x:c r="M353" s="20" t="str">
        <x:f>_xlfn.IFNA(VLOOKUP(_xlfn.CONCAT("T",M$1,"V",$D353,"A",$A353),Vulnerabilities!$G:$G,1,FALSE),"")</x:f>
      </x:c>
      <x:c r="N353" s="20" t="str">
        <x:f>_xlfn.IFNA(VLOOKUP(_xlfn.CONCAT("T",N$1,"V",$D353,"A",$A353),Vulnerabilities!$G:$G,1,FALSE),"")</x:f>
      </x:c>
      <x:c r="O353" s="20" t="str">
        <x:f>_xlfn.IFNA(VLOOKUP(_xlfn.CONCAT("T",O$1,"V",$D353,"A",$A353),Vulnerabilities!$G:$G,1,FALSE),"")</x:f>
      </x:c>
      <x:c r="P353" s="16" t="str">
        <x:f>_xlfn.IFNA(VLOOKUP(_xlfn.CONCAT("T",P$1,"V",$D353,"A",$A353),Vulnerabilities!$G:$G,1,FALSE),"")</x:f>
      </x:c>
    </x:row>
    <x:row r="354">
      <x:c r="A354" s="11">
        <x:f t="shared" si="6"/>
        <x:v>88</x:v>
      </x:c>
      <x:c r="B354" s="12" t="str">
        <x:f>IF(VLOOKUP($A354,Assets!$A:$C,2,FALSE)=0,"",VLOOKUP($A354,Assets!$A:$C,2,FALSE))</x:f>
      </x:c>
      <x:c r="C354" s="12" t="str">
        <x:f>IF(VLOOKUP($A354,Assets!$A:$C,3,FALSE)=0,"",VLOOKUP($A354,Assets!$A:$C,3,FALSE))</x:f>
      </x:c>
      <x:c r="D354" s="17">
        <x:v>4</x:v>
      </x:c>
      <x:c r="E354" s="21" t="str">
        <x:f>_xlfn.IFNA(VLOOKUP(_xlfn.CONCAT("T",E$1,"V",$D354,"A",$A354),Vulnerabilities!$G:$G,1,FALSE),"")</x:f>
      </x:c>
      <x:c r="F354" s="21" t="str">
        <x:f>_xlfn.IFNA(VLOOKUP(_xlfn.CONCAT("T",F$1,"V",$D354,"A",$A354),Vulnerabilities!$G:$G,1,FALSE),"")</x:f>
      </x:c>
      <x:c r="G354" s="21" t="str">
        <x:f>_xlfn.IFNA(VLOOKUP(_xlfn.CONCAT("T",G$1,"V",$D354,"A",$A354),Vulnerabilities!$G:$G,1,FALSE),"")</x:f>
      </x:c>
      <x:c r="H354" s="21" t="str">
        <x:f>_xlfn.IFNA(VLOOKUP(_xlfn.CONCAT("T",H$1,"V",$D354,"A",$A354),Vulnerabilities!$G:$G,1,FALSE),"")</x:f>
      </x:c>
      <x:c r="I354" s="21" t="str">
        <x:f>_xlfn.IFNA(VLOOKUP(_xlfn.CONCAT("T",I$1,"V",$D354,"A",$A354),Vulnerabilities!$G:$G,1,FALSE),"")</x:f>
      </x:c>
      <x:c r="J354" s="21" t="str">
        <x:f>_xlfn.IFNA(VLOOKUP(_xlfn.CONCAT("T",J$1,"V",$D354,"A",$A354),Vulnerabilities!$G:$G,1,FALSE),"")</x:f>
      </x:c>
      <x:c r="K354" s="21" t="str">
        <x:f>_xlfn.IFNA(VLOOKUP(_xlfn.CONCAT("T",K$1,"V",$D354,"A",$A354),Vulnerabilities!$G:$G,1,FALSE),"")</x:f>
      </x:c>
      <x:c r="L354" s="21" t="str">
        <x:f>_xlfn.IFNA(VLOOKUP(_xlfn.CONCAT("T",L$1,"V",$D354,"A",$A354),Vulnerabilities!$G:$G,1,FALSE),"")</x:f>
      </x:c>
      <x:c r="M354" s="21" t="str">
        <x:f>_xlfn.IFNA(VLOOKUP(_xlfn.CONCAT("T",M$1,"V",$D354,"A",$A354),Vulnerabilities!$G:$G,1,FALSE),"")</x:f>
      </x:c>
      <x:c r="N354" s="21" t="str">
        <x:f>_xlfn.IFNA(VLOOKUP(_xlfn.CONCAT("T",N$1,"V",$D354,"A",$A354),Vulnerabilities!$G:$G,1,FALSE),"")</x:f>
      </x:c>
      <x:c r="O354" s="21" t="str">
        <x:f>_xlfn.IFNA(VLOOKUP(_xlfn.CONCAT("T",O$1,"V",$D354,"A",$A354),Vulnerabilities!$G:$G,1,FALSE),"")</x:f>
      </x:c>
      <x:c r="P354" s="17" t="str">
        <x:f>_xlfn.IFNA(VLOOKUP(_xlfn.CONCAT("T",P$1,"V",$D354,"A",$A354),Vulnerabilities!$G:$G,1,FALSE),"")</x:f>
      </x:c>
    </x:row>
    <x:row r="355">
      <x:c r="A355" s="1">
        <x:f t="shared" si="6"/>
        <x:v>89</x:v>
      </x:c>
      <x:c r="B355" t="str">
        <x:f>IF(VLOOKUP($A355,Assets!$A:$C,2,FALSE)=0,"",VLOOKUP($A355,Assets!$A:$C,2,FALSE))</x:f>
      </x:c>
      <x:c r="C355" t="str">
        <x:f>IF(VLOOKUP($A355,Assets!$A:$C,3,FALSE)=0,"",VLOOKUP($A355,Assets!$A:$C,3,FALSE))</x:f>
      </x:c>
      <x:c r="D355" s="16">
        <x:v>1</x:v>
      </x:c>
      <x:c r="E355" s="20" t="str">
        <x:f>_xlfn.IFNA(VLOOKUP(_xlfn.CONCAT("T",E$1,"V",$D355,"A",$A355),Vulnerabilities!$G:$G,1,FALSE),"")</x:f>
      </x:c>
      <x:c r="F355" s="20" t="str">
        <x:f>_xlfn.IFNA(VLOOKUP(_xlfn.CONCAT("T",F$1,"V",$D355,"A",$A355),Vulnerabilities!$G:$G,1,FALSE),"")</x:f>
      </x:c>
      <x:c r="G355" s="20" t="str">
        <x:f>_xlfn.IFNA(VLOOKUP(_xlfn.CONCAT("T",G$1,"V",$D355,"A",$A355),Vulnerabilities!$G:$G,1,FALSE),"")</x:f>
      </x:c>
      <x:c r="H355" s="20" t="str">
        <x:f>_xlfn.IFNA(VLOOKUP(_xlfn.CONCAT("T",H$1,"V",$D355,"A",$A355),Vulnerabilities!$G:$G,1,FALSE),"")</x:f>
      </x:c>
      <x:c r="I355" s="20" t="str">
        <x:f>_xlfn.IFNA(VLOOKUP(_xlfn.CONCAT("T",I$1,"V",$D355,"A",$A355),Vulnerabilities!$G:$G,1,FALSE),"")</x:f>
      </x:c>
      <x:c r="J355" s="20" t="str">
        <x:f>_xlfn.IFNA(VLOOKUP(_xlfn.CONCAT("T",J$1,"V",$D355,"A",$A355),Vulnerabilities!$G:$G,1,FALSE),"")</x:f>
      </x:c>
      <x:c r="K355" s="20" t="str">
        <x:f>_xlfn.IFNA(VLOOKUP(_xlfn.CONCAT("T",K$1,"V",$D355,"A",$A355),Vulnerabilities!$G:$G,1,FALSE),"")</x:f>
      </x:c>
      <x:c r="L355" s="20" t="str">
        <x:f>_xlfn.IFNA(VLOOKUP(_xlfn.CONCAT("T",L$1,"V",$D355,"A",$A355),Vulnerabilities!$G:$G,1,FALSE),"")</x:f>
      </x:c>
      <x:c r="M355" s="20" t="str">
        <x:f>_xlfn.IFNA(VLOOKUP(_xlfn.CONCAT("T",M$1,"V",$D355,"A",$A355),Vulnerabilities!$G:$G,1,FALSE),"")</x:f>
      </x:c>
      <x:c r="N355" s="20" t="str">
        <x:f>_xlfn.IFNA(VLOOKUP(_xlfn.CONCAT("T",N$1,"V",$D355,"A",$A355),Vulnerabilities!$G:$G,1,FALSE),"")</x:f>
      </x:c>
      <x:c r="O355" s="20" t="str">
        <x:f>_xlfn.IFNA(VLOOKUP(_xlfn.CONCAT("T",O$1,"V",$D355,"A",$A355),Vulnerabilities!$G:$G,1,FALSE),"")</x:f>
      </x:c>
      <x:c r="P355" s="16" t="str">
        <x:f>_xlfn.IFNA(VLOOKUP(_xlfn.CONCAT("T",P$1,"V",$D355,"A",$A355),Vulnerabilities!$G:$G,1,FALSE),"")</x:f>
      </x:c>
    </x:row>
    <x:row r="356">
      <x:c r="A356" s="1">
        <x:f t="shared" si="6"/>
        <x:v>89</x:v>
      </x:c>
      <x:c r="B356" t="str">
        <x:f>IF(VLOOKUP($A356,Assets!$A:$C,2,FALSE)=0,"",VLOOKUP($A356,Assets!$A:$C,2,FALSE))</x:f>
      </x:c>
      <x:c r="C356" t="str">
        <x:f>IF(VLOOKUP($A356,Assets!$A:$C,3,FALSE)=0,"",VLOOKUP($A356,Assets!$A:$C,3,FALSE))</x:f>
      </x:c>
      <x:c r="D356" s="16">
        <x:v>2</x:v>
      </x:c>
      <x:c r="E356" s="20" t="str">
        <x:f>_xlfn.IFNA(VLOOKUP(_xlfn.CONCAT("T",E$1,"V",$D356,"A",$A356),Vulnerabilities!$G:$G,1,FALSE),"")</x:f>
      </x:c>
      <x:c r="F356" s="20" t="str">
        <x:f>_xlfn.IFNA(VLOOKUP(_xlfn.CONCAT("T",F$1,"V",$D356,"A",$A356),Vulnerabilities!$G:$G,1,FALSE),"")</x:f>
      </x:c>
      <x:c r="G356" s="20" t="str">
        <x:f>_xlfn.IFNA(VLOOKUP(_xlfn.CONCAT("T",G$1,"V",$D356,"A",$A356),Vulnerabilities!$G:$G,1,FALSE),"")</x:f>
      </x:c>
      <x:c r="H356" s="20" t="str">
        <x:f>_xlfn.IFNA(VLOOKUP(_xlfn.CONCAT("T",H$1,"V",$D356,"A",$A356),Vulnerabilities!$G:$G,1,FALSE),"")</x:f>
      </x:c>
      <x:c r="I356" s="20" t="str">
        <x:f>_xlfn.IFNA(VLOOKUP(_xlfn.CONCAT("T",I$1,"V",$D356,"A",$A356),Vulnerabilities!$G:$G,1,FALSE),"")</x:f>
      </x:c>
      <x:c r="J356" s="20" t="str">
        <x:f>_xlfn.IFNA(VLOOKUP(_xlfn.CONCAT("T",J$1,"V",$D356,"A",$A356),Vulnerabilities!$G:$G,1,FALSE),"")</x:f>
      </x:c>
      <x:c r="K356" s="20" t="str">
        <x:f>_xlfn.IFNA(VLOOKUP(_xlfn.CONCAT("T",K$1,"V",$D356,"A",$A356),Vulnerabilities!$G:$G,1,FALSE),"")</x:f>
      </x:c>
      <x:c r="L356" s="20" t="str">
        <x:f>_xlfn.IFNA(VLOOKUP(_xlfn.CONCAT("T",L$1,"V",$D356,"A",$A356),Vulnerabilities!$G:$G,1,FALSE),"")</x:f>
      </x:c>
      <x:c r="M356" s="20" t="str">
        <x:f>_xlfn.IFNA(VLOOKUP(_xlfn.CONCAT("T",M$1,"V",$D356,"A",$A356),Vulnerabilities!$G:$G,1,FALSE),"")</x:f>
      </x:c>
      <x:c r="N356" s="20" t="str">
        <x:f>_xlfn.IFNA(VLOOKUP(_xlfn.CONCAT("T",N$1,"V",$D356,"A",$A356),Vulnerabilities!$G:$G,1,FALSE),"")</x:f>
      </x:c>
      <x:c r="O356" s="20" t="str">
        <x:f>_xlfn.IFNA(VLOOKUP(_xlfn.CONCAT("T",O$1,"V",$D356,"A",$A356),Vulnerabilities!$G:$G,1,FALSE),"")</x:f>
      </x:c>
      <x:c r="P356" s="16" t="str">
        <x:f>_xlfn.IFNA(VLOOKUP(_xlfn.CONCAT("T",P$1,"V",$D356,"A",$A356),Vulnerabilities!$G:$G,1,FALSE),"")</x:f>
      </x:c>
    </x:row>
    <x:row r="357">
      <x:c r="A357" s="1">
        <x:f t="shared" si="6"/>
        <x:v>89</x:v>
      </x:c>
      <x:c r="B357" t="str">
        <x:f>IF(VLOOKUP($A357,Assets!$A:$C,2,FALSE)=0,"",VLOOKUP($A357,Assets!$A:$C,2,FALSE))</x:f>
      </x:c>
      <x:c r="C357" t="str">
        <x:f>IF(VLOOKUP($A357,Assets!$A:$C,3,FALSE)=0,"",VLOOKUP($A357,Assets!$A:$C,3,FALSE))</x:f>
      </x:c>
      <x:c r="D357" s="16">
        <x:v>3</x:v>
      </x:c>
      <x:c r="E357" s="20" t="str">
        <x:f>_xlfn.IFNA(VLOOKUP(_xlfn.CONCAT("T",E$1,"V",$D357,"A",$A357),Vulnerabilities!$G:$G,1,FALSE),"")</x:f>
      </x:c>
      <x:c r="F357" s="20" t="str">
        <x:f>_xlfn.IFNA(VLOOKUP(_xlfn.CONCAT("T",F$1,"V",$D357,"A",$A357),Vulnerabilities!$G:$G,1,FALSE),"")</x:f>
      </x:c>
      <x:c r="G357" s="20" t="str">
        <x:f>_xlfn.IFNA(VLOOKUP(_xlfn.CONCAT("T",G$1,"V",$D357,"A",$A357),Vulnerabilities!$G:$G,1,FALSE),"")</x:f>
      </x:c>
      <x:c r="H357" s="20" t="str">
        <x:f>_xlfn.IFNA(VLOOKUP(_xlfn.CONCAT("T",H$1,"V",$D357,"A",$A357),Vulnerabilities!$G:$G,1,FALSE),"")</x:f>
      </x:c>
      <x:c r="I357" s="20" t="str">
        <x:f>_xlfn.IFNA(VLOOKUP(_xlfn.CONCAT("T",I$1,"V",$D357,"A",$A357),Vulnerabilities!$G:$G,1,FALSE),"")</x:f>
      </x:c>
      <x:c r="J357" s="20" t="str">
        <x:f>_xlfn.IFNA(VLOOKUP(_xlfn.CONCAT("T",J$1,"V",$D357,"A",$A357),Vulnerabilities!$G:$G,1,FALSE),"")</x:f>
      </x:c>
      <x:c r="K357" s="20" t="str">
        <x:f>_xlfn.IFNA(VLOOKUP(_xlfn.CONCAT("T",K$1,"V",$D357,"A",$A357),Vulnerabilities!$G:$G,1,FALSE),"")</x:f>
      </x:c>
      <x:c r="L357" s="20" t="str">
        <x:f>_xlfn.IFNA(VLOOKUP(_xlfn.CONCAT("T",L$1,"V",$D357,"A",$A357),Vulnerabilities!$G:$G,1,FALSE),"")</x:f>
      </x:c>
      <x:c r="M357" s="20" t="str">
        <x:f>_xlfn.IFNA(VLOOKUP(_xlfn.CONCAT("T",M$1,"V",$D357,"A",$A357),Vulnerabilities!$G:$G,1,FALSE),"")</x:f>
      </x:c>
      <x:c r="N357" s="20" t="str">
        <x:f>_xlfn.IFNA(VLOOKUP(_xlfn.CONCAT("T",N$1,"V",$D357,"A",$A357),Vulnerabilities!$G:$G,1,FALSE),"")</x:f>
      </x:c>
      <x:c r="O357" s="20" t="str">
        <x:f>_xlfn.IFNA(VLOOKUP(_xlfn.CONCAT("T",O$1,"V",$D357,"A",$A357),Vulnerabilities!$G:$G,1,FALSE),"")</x:f>
      </x:c>
      <x:c r="P357" s="16" t="str">
        <x:f>_xlfn.IFNA(VLOOKUP(_xlfn.CONCAT("T",P$1,"V",$D357,"A",$A357),Vulnerabilities!$G:$G,1,FALSE),"")</x:f>
      </x:c>
    </x:row>
    <x:row r="358">
      <x:c r="A358" s="11">
        <x:f t="shared" si="6"/>
        <x:v>89</x:v>
      </x:c>
      <x:c r="B358" s="12" t="str">
        <x:f>IF(VLOOKUP($A358,Assets!$A:$C,2,FALSE)=0,"",VLOOKUP($A358,Assets!$A:$C,2,FALSE))</x:f>
      </x:c>
      <x:c r="C358" s="12" t="str">
        <x:f>IF(VLOOKUP($A358,Assets!$A:$C,3,FALSE)=0,"",VLOOKUP($A358,Assets!$A:$C,3,FALSE))</x:f>
      </x:c>
      <x:c r="D358" s="17">
        <x:v>4</x:v>
      </x:c>
      <x:c r="E358" s="21" t="str">
        <x:f>_xlfn.IFNA(VLOOKUP(_xlfn.CONCAT("T",E$1,"V",$D358,"A",$A358),Vulnerabilities!$G:$G,1,FALSE),"")</x:f>
      </x:c>
      <x:c r="F358" s="21" t="str">
        <x:f>_xlfn.IFNA(VLOOKUP(_xlfn.CONCAT("T",F$1,"V",$D358,"A",$A358),Vulnerabilities!$G:$G,1,FALSE),"")</x:f>
      </x:c>
      <x:c r="G358" s="21" t="str">
        <x:f>_xlfn.IFNA(VLOOKUP(_xlfn.CONCAT("T",G$1,"V",$D358,"A",$A358),Vulnerabilities!$G:$G,1,FALSE),"")</x:f>
      </x:c>
      <x:c r="H358" s="21" t="str">
        <x:f>_xlfn.IFNA(VLOOKUP(_xlfn.CONCAT("T",H$1,"V",$D358,"A",$A358),Vulnerabilities!$G:$G,1,FALSE),"")</x:f>
      </x:c>
      <x:c r="I358" s="21" t="str">
        <x:f>_xlfn.IFNA(VLOOKUP(_xlfn.CONCAT("T",I$1,"V",$D358,"A",$A358),Vulnerabilities!$G:$G,1,FALSE),"")</x:f>
      </x:c>
      <x:c r="J358" s="21" t="str">
        <x:f>_xlfn.IFNA(VLOOKUP(_xlfn.CONCAT("T",J$1,"V",$D358,"A",$A358),Vulnerabilities!$G:$G,1,FALSE),"")</x:f>
      </x:c>
      <x:c r="K358" s="21" t="str">
        <x:f>_xlfn.IFNA(VLOOKUP(_xlfn.CONCAT("T",K$1,"V",$D358,"A",$A358),Vulnerabilities!$G:$G,1,FALSE),"")</x:f>
      </x:c>
      <x:c r="L358" s="21" t="str">
        <x:f>_xlfn.IFNA(VLOOKUP(_xlfn.CONCAT("T",L$1,"V",$D358,"A",$A358),Vulnerabilities!$G:$G,1,FALSE),"")</x:f>
      </x:c>
      <x:c r="M358" s="21" t="str">
        <x:f>_xlfn.IFNA(VLOOKUP(_xlfn.CONCAT("T",M$1,"V",$D358,"A",$A358),Vulnerabilities!$G:$G,1,FALSE),"")</x:f>
      </x:c>
      <x:c r="N358" s="21" t="str">
        <x:f>_xlfn.IFNA(VLOOKUP(_xlfn.CONCAT("T",N$1,"V",$D358,"A",$A358),Vulnerabilities!$G:$G,1,FALSE),"")</x:f>
      </x:c>
      <x:c r="O358" s="21" t="str">
        <x:f>_xlfn.IFNA(VLOOKUP(_xlfn.CONCAT("T",O$1,"V",$D358,"A",$A358),Vulnerabilities!$G:$G,1,FALSE),"")</x:f>
      </x:c>
      <x:c r="P358" s="17" t="str">
        <x:f>_xlfn.IFNA(VLOOKUP(_xlfn.CONCAT("T",P$1,"V",$D358,"A",$A358),Vulnerabilities!$G:$G,1,FALSE),"")</x:f>
      </x:c>
    </x:row>
    <x:row r="359">
      <x:c r="A359" s="1">
        <x:f t="shared" si="6"/>
        <x:v>90</x:v>
      </x:c>
      <x:c r="B359" t="str">
        <x:f>IF(VLOOKUP($A359,Assets!$A:$C,2,FALSE)=0,"",VLOOKUP($A359,Assets!$A:$C,2,FALSE))</x:f>
      </x:c>
      <x:c r="C359" t="str">
        <x:f>IF(VLOOKUP($A359,Assets!$A:$C,3,FALSE)=0,"",VLOOKUP($A359,Assets!$A:$C,3,FALSE))</x:f>
      </x:c>
      <x:c r="D359" s="16">
        <x:v>1</x:v>
      </x:c>
      <x:c r="E359" s="20" t="str">
        <x:f>_xlfn.IFNA(VLOOKUP(_xlfn.CONCAT("T",E$1,"V",$D359,"A",$A359),Vulnerabilities!$G:$G,1,FALSE),"")</x:f>
      </x:c>
      <x:c r="F359" s="20" t="str">
        <x:f>_xlfn.IFNA(VLOOKUP(_xlfn.CONCAT("T",F$1,"V",$D359,"A",$A359),Vulnerabilities!$G:$G,1,FALSE),"")</x:f>
      </x:c>
      <x:c r="G359" s="20" t="str">
        <x:f>_xlfn.IFNA(VLOOKUP(_xlfn.CONCAT("T",G$1,"V",$D359,"A",$A359),Vulnerabilities!$G:$G,1,FALSE),"")</x:f>
      </x:c>
      <x:c r="H359" s="20" t="str">
        <x:f>_xlfn.IFNA(VLOOKUP(_xlfn.CONCAT("T",H$1,"V",$D359,"A",$A359),Vulnerabilities!$G:$G,1,FALSE),"")</x:f>
      </x:c>
      <x:c r="I359" s="20" t="str">
        <x:f>_xlfn.IFNA(VLOOKUP(_xlfn.CONCAT("T",I$1,"V",$D359,"A",$A359),Vulnerabilities!$G:$G,1,FALSE),"")</x:f>
      </x:c>
      <x:c r="J359" s="20" t="str">
        <x:f>_xlfn.IFNA(VLOOKUP(_xlfn.CONCAT("T",J$1,"V",$D359,"A",$A359),Vulnerabilities!$G:$G,1,FALSE),"")</x:f>
      </x:c>
      <x:c r="K359" s="20" t="str">
        <x:f>_xlfn.IFNA(VLOOKUP(_xlfn.CONCAT("T",K$1,"V",$D359,"A",$A359),Vulnerabilities!$G:$G,1,FALSE),"")</x:f>
      </x:c>
      <x:c r="L359" s="20" t="str">
        <x:f>_xlfn.IFNA(VLOOKUP(_xlfn.CONCAT("T",L$1,"V",$D359,"A",$A359),Vulnerabilities!$G:$G,1,FALSE),"")</x:f>
      </x:c>
      <x:c r="M359" s="20" t="str">
        <x:f>_xlfn.IFNA(VLOOKUP(_xlfn.CONCAT("T",M$1,"V",$D359,"A",$A359),Vulnerabilities!$G:$G,1,FALSE),"")</x:f>
      </x:c>
      <x:c r="N359" s="20" t="str">
        <x:f>_xlfn.IFNA(VLOOKUP(_xlfn.CONCAT("T",N$1,"V",$D359,"A",$A359),Vulnerabilities!$G:$G,1,FALSE),"")</x:f>
      </x:c>
      <x:c r="O359" s="20" t="str">
        <x:f>_xlfn.IFNA(VLOOKUP(_xlfn.CONCAT("T",O$1,"V",$D359,"A",$A359),Vulnerabilities!$G:$G,1,FALSE),"")</x:f>
      </x:c>
      <x:c r="P359" s="16" t="str">
        <x:f>_xlfn.IFNA(VLOOKUP(_xlfn.CONCAT("T",P$1,"V",$D359,"A",$A359),Vulnerabilities!$G:$G,1,FALSE),"")</x:f>
      </x:c>
    </x:row>
    <x:row r="360">
      <x:c r="A360" s="1">
        <x:f t="shared" si="6"/>
        <x:v>90</x:v>
      </x:c>
      <x:c r="B360" t="str">
        <x:f>IF(VLOOKUP($A360,Assets!$A:$C,2,FALSE)=0,"",VLOOKUP($A360,Assets!$A:$C,2,FALSE))</x:f>
      </x:c>
      <x:c r="C360" t="str">
        <x:f>IF(VLOOKUP($A360,Assets!$A:$C,3,FALSE)=0,"",VLOOKUP($A360,Assets!$A:$C,3,FALSE))</x:f>
      </x:c>
      <x:c r="D360" s="16">
        <x:v>2</x:v>
      </x:c>
      <x:c r="E360" s="20" t="str">
        <x:f>_xlfn.IFNA(VLOOKUP(_xlfn.CONCAT("T",E$1,"V",$D360,"A",$A360),Vulnerabilities!$G:$G,1,FALSE),"")</x:f>
      </x:c>
      <x:c r="F360" s="20" t="str">
        <x:f>_xlfn.IFNA(VLOOKUP(_xlfn.CONCAT("T",F$1,"V",$D360,"A",$A360),Vulnerabilities!$G:$G,1,FALSE),"")</x:f>
      </x:c>
      <x:c r="G360" s="20" t="str">
        <x:f>_xlfn.IFNA(VLOOKUP(_xlfn.CONCAT("T",G$1,"V",$D360,"A",$A360),Vulnerabilities!$G:$G,1,FALSE),"")</x:f>
      </x:c>
      <x:c r="H360" s="20" t="str">
        <x:f>_xlfn.IFNA(VLOOKUP(_xlfn.CONCAT("T",H$1,"V",$D360,"A",$A360),Vulnerabilities!$G:$G,1,FALSE),"")</x:f>
      </x:c>
      <x:c r="I360" s="20" t="str">
        <x:f>_xlfn.IFNA(VLOOKUP(_xlfn.CONCAT("T",I$1,"V",$D360,"A",$A360),Vulnerabilities!$G:$G,1,FALSE),"")</x:f>
      </x:c>
      <x:c r="J360" s="20" t="str">
        <x:f>_xlfn.IFNA(VLOOKUP(_xlfn.CONCAT("T",J$1,"V",$D360,"A",$A360),Vulnerabilities!$G:$G,1,FALSE),"")</x:f>
      </x:c>
      <x:c r="K360" s="20" t="str">
        <x:f>_xlfn.IFNA(VLOOKUP(_xlfn.CONCAT("T",K$1,"V",$D360,"A",$A360),Vulnerabilities!$G:$G,1,FALSE),"")</x:f>
      </x:c>
      <x:c r="L360" s="20" t="str">
        <x:f>_xlfn.IFNA(VLOOKUP(_xlfn.CONCAT("T",L$1,"V",$D360,"A",$A360),Vulnerabilities!$G:$G,1,FALSE),"")</x:f>
      </x:c>
      <x:c r="M360" s="20" t="str">
        <x:f>_xlfn.IFNA(VLOOKUP(_xlfn.CONCAT("T",M$1,"V",$D360,"A",$A360),Vulnerabilities!$G:$G,1,FALSE),"")</x:f>
      </x:c>
      <x:c r="N360" s="20" t="str">
        <x:f>_xlfn.IFNA(VLOOKUP(_xlfn.CONCAT("T",N$1,"V",$D360,"A",$A360),Vulnerabilities!$G:$G,1,FALSE),"")</x:f>
      </x:c>
      <x:c r="O360" s="20" t="str">
        <x:f>_xlfn.IFNA(VLOOKUP(_xlfn.CONCAT("T",O$1,"V",$D360,"A",$A360),Vulnerabilities!$G:$G,1,FALSE),"")</x:f>
      </x:c>
      <x:c r="P360" s="16" t="str">
        <x:f>_xlfn.IFNA(VLOOKUP(_xlfn.CONCAT("T",P$1,"V",$D360,"A",$A360),Vulnerabilities!$G:$G,1,FALSE),"")</x:f>
      </x:c>
    </x:row>
    <x:row r="361">
      <x:c r="A361" s="1">
        <x:f t="shared" si="6"/>
        <x:v>90</x:v>
      </x:c>
      <x:c r="B361" t="str">
        <x:f>IF(VLOOKUP($A361,Assets!$A:$C,2,FALSE)=0,"",VLOOKUP($A361,Assets!$A:$C,2,FALSE))</x:f>
      </x:c>
      <x:c r="C361" t="str">
        <x:f>IF(VLOOKUP($A361,Assets!$A:$C,3,FALSE)=0,"",VLOOKUP($A361,Assets!$A:$C,3,FALSE))</x:f>
      </x:c>
      <x:c r="D361" s="16">
        <x:v>3</x:v>
      </x:c>
      <x:c r="E361" s="20" t="str">
        <x:f>_xlfn.IFNA(VLOOKUP(_xlfn.CONCAT("T",E$1,"V",$D361,"A",$A361),Vulnerabilities!$G:$G,1,FALSE),"")</x:f>
      </x:c>
      <x:c r="F361" s="20" t="str">
        <x:f>_xlfn.IFNA(VLOOKUP(_xlfn.CONCAT("T",F$1,"V",$D361,"A",$A361),Vulnerabilities!$G:$G,1,FALSE),"")</x:f>
      </x:c>
      <x:c r="G361" s="20" t="str">
        <x:f>_xlfn.IFNA(VLOOKUP(_xlfn.CONCAT("T",G$1,"V",$D361,"A",$A361),Vulnerabilities!$G:$G,1,FALSE),"")</x:f>
      </x:c>
      <x:c r="H361" s="20" t="str">
        <x:f>_xlfn.IFNA(VLOOKUP(_xlfn.CONCAT("T",H$1,"V",$D361,"A",$A361),Vulnerabilities!$G:$G,1,FALSE),"")</x:f>
      </x:c>
      <x:c r="I361" s="20" t="str">
        <x:f>_xlfn.IFNA(VLOOKUP(_xlfn.CONCAT("T",I$1,"V",$D361,"A",$A361),Vulnerabilities!$G:$G,1,FALSE),"")</x:f>
      </x:c>
      <x:c r="J361" s="20" t="str">
        <x:f>_xlfn.IFNA(VLOOKUP(_xlfn.CONCAT("T",J$1,"V",$D361,"A",$A361),Vulnerabilities!$G:$G,1,FALSE),"")</x:f>
      </x:c>
      <x:c r="K361" s="20" t="str">
        <x:f>_xlfn.IFNA(VLOOKUP(_xlfn.CONCAT("T",K$1,"V",$D361,"A",$A361),Vulnerabilities!$G:$G,1,FALSE),"")</x:f>
      </x:c>
      <x:c r="L361" s="20" t="str">
        <x:f>_xlfn.IFNA(VLOOKUP(_xlfn.CONCAT("T",L$1,"V",$D361,"A",$A361),Vulnerabilities!$G:$G,1,FALSE),"")</x:f>
      </x:c>
      <x:c r="M361" s="20" t="str">
        <x:f>_xlfn.IFNA(VLOOKUP(_xlfn.CONCAT("T",M$1,"V",$D361,"A",$A361),Vulnerabilities!$G:$G,1,FALSE),"")</x:f>
      </x:c>
      <x:c r="N361" s="20" t="str">
        <x:f>_xlfn.IFNA(VLOOKUP(_xlfn.CONCAT("T",N$1,"V",$D361,"A",$A361),Vulnerabilities!$G:$G,1,FALSE),"")</x:f>
      </x:c>
      <x:c r="O361" s="20" t="str">
        <x:f>_xlfn.IFNA(VLOOKUP(_xlfn.CONCAT("T",O$1,"V",$D361,"A",$A361),Vulnerabilities!$G:$G,1,FALSE),"")</x:f>
      </x:c>
      <x:c r="P361" s="16" t="str">
        <x:f>_xlfn.IFNA(VLOOKUP(_xlfn.CONCAT("T",P$1,"V",$D361,"A",$A361),Vulnerabilities!$G:$G,1,FALSE),"")</x:f>
      </x:c>
    </x:row>
    <x:row r="362">
      <x:c r="A362" s="11">
        <x:f t="shared" si="6"/>
        <x:v>90</x:v>
      </x:c>
      <x:c r="B362" s="12" t="str">
        <x:f>IF(VLOOKUP($A362,Assets!$A:$C,2,FALSE)=0,"",VLOOKUP($A362,Assets!$A:$C,2,FALSE))</x:f>
      </x:c>
      <x:c r="C362" s="12" t="str">
        <x:f>IF(VLOOKUP($A362,Assets!$A:$C,3,FALSE)=0,"",VLOOKUP($A362,Assets!$A:$C,3,FALSE))</x:f>
      </x:c>
      <x:c r="D362" s="17">
        <x:v>4</x:v>
      </x:c>
      <x:c r="E362" s="21" t="str">
        <x:f>_xlfn.IFNA(VLOOKUP(_xlfn.CONCAT("T",E$1,"V",$D362,"A",$A362),Vulnerabilities!$G:$G,1,FALSE),"")</x:f>
      </x:c>
      <x:c r="F362" s="21" t="str">
        <x:f>_xlfn.IFNA(VLOOKUP(_xlfn.CONCAT("T",F$1,"V",$D362,"A",$A362),Vulnerabilities!$G:$G,1,FALSE),"")</x:f>
      </x:c>
      <x:c r="G362" s="21" t="str">
        <x:f>_xlfn.IFNA(VLOOKUP(_xlfn.CONCAT("T",G$1,"V",$D362,"A",$A362),Vulnerabilities!$G:$G,1,FALSE),"")</x:f>
      </x:c>
      <x:c r="H362" s="21" t="str">
        <x:f>_xlfn.IFNA(VLOOKUP(_xlfn.CONCAT("T",H$1,"V",$D362,"A",$A362),Vulnerabilities!$G:$G,1,FALSE),"")</x:f>
      </x:c>
      <x:c r="I362" s="21" t="str">
        <x:f>_xlfn.IFNA(VLOOKUP(_xlfn.CONCAT("T",I$1,"V",$D362,"A",$A362),Vulnerabilities!$G:$G,1,FALSE),"")</x:f>
      </x:c>
      <x:c r="J362" s="21" t="str">
        <x:f>_xlfn.IFNA(VLOOKUP(_xlfn.CONCAT("T",J$1,"V",$D362,"A",$A362),Vulnerabilities!$G:$G,1,FALSE),"")</x:f>
      </x:c>
      <x:c r="K362" s="21" t="str">
        <x:f>_xlfn.IFNA(VLOOKUP(_xlfn.CONCAT("T",K$1,"V",$D362,"A",$A362),Vulnerabilities!$G:$G,1,FALSE),"")</x:f>
      </x:c>
      <x:c r="L362" s="21" t="str">
        <x:f>_xlfn.IFNA(VLOOKUP(_xlfn.CONCAT("T",L$1,"V",$D362,"A",$A362),Vulnerabilities!$G:$G,1,FALSE),"")</x:f>
      </x:c>
      <x:c r="M362" s="21" t="str">
        <x:f>_xlfn.IFNA(VLOOKUP(_xlfn.CONCAT("T",M$1,"V",$D362,"A",$A362),Vulnerabilities!$G:$G,1,FALSE),"")</x:f>
      </x:c>
      <x:c r="N362" s="21" t="str">
        <x:f>_xlfn.IFNA(VLOOKUP(_xlfn.CONCAT("T",N$1,"V",$D362,"A",$A362),Vulnerabilities!$G:$G,1,FALSE),"")</x:f>
      </x:c>
      <x:c r="O362" s="21" t="str">
        <x:f>_xlfn.IFNA(VLOOKUP(_xlfn.CONCAT("T",O$1,"V",$D362,"A",$A362),Vulnerabilities!$G:$G,1,FALSE),"")</x:f>
      </x:c>
      <x:c r="P362" s="17" t="str">
        <x:f>_xlfn.IFNA(VLOOKUP(_xlfn.CONCAT("T",P$1,"V",$D362,"A",$A362),Vulnerabilities!$G:$G,1,FALSE),"")</x:f>
      </x:c>
    </x:row>
    <x:row r="363">
      <x:c r="A363" s="1">
        <x:f t="shared" si="6"/>
        <x:v>91</x:v>
      </x:c>
      <x:c r="B363" t="str">
        <x:f>IF(VLOOKUP($A363,Assets!$A:$C,2,FALSE)=0,"",VLOOKUP($A363,Assets!$A:$C,2,FALSE))</x:f>
      </x:c>
      <x:c r="C363" t="str">
        <x:f>IF(VLOOKUP($A363,Assets!$A:$C,3,FALSE)=0,"",VLOOKUP($A363,Assets!$A:$C,3,FALSE))</x:f>
      </x:c>
      <x:c r="D363" s="16">
        <x:v>1</x:v>
      </x:c>
      <x:c r="E363" s="20" t="str">
        <x:f>_xlfn.IFNA(VLOOKUP(_xlfn.CONCAT("T",E$1,"V",$D363,"A",$A363),Vulnerabilities!$G:$G,1,FALSE),"")</x:f>
      </x:c>
      <x:c r="F363" s="20" t="str">
        <x:f>_xlfn.IFNA(VLOOKUP(_xlfn.CONCAT("T",F$1,"V",$D363,"A",$A363),Vulnerabilities!$G:$G,1,FALSE),"")</x:f>
      </x:c>
      <x:c r="G363" s="20" t="str">
        <x:f>_xlfn.IFNA(VLOOKUP(_xlfn.CONCAT("T",G$1,"V",$D363,"A",$A363),Vulnerabilities!$G:$G,1,FALSE),"")</x:f>
      </x:c>
      <x:c r="H363" s="20" t="str">
        <x:f>_xlfn.IFNA(VLOOKUP(_xlfn.CONCAT("T",H$1,"V",$D363,"A",$A363),Vulnerabilities!$G:$G,1,FALSE),"")</x:f>
      </x:c>
      <x:c r="I363" s="20" t="str">
        <x:f>_xlfn.IFNA(VLOOKUP(_xlfn.CONCAT("T",I$1,"V",$D363,"A",$A363),Vulnerabilities!$G:$G,1,FALSE),"")</x:f>
      </x:c>
      <x:c r="J363" s="20" t="str">
        <x:f>_xlfn.IFNA(VLOOKUP(_xlfn.CONCAT("T",J$1,"V",$D363,"A",$A363),Vulnerabilities!$G:$G,1,FALSE),"")</x:f>
      </x:c>
      <x:c r="K363" s="20" t="str">
        <x:f>_xlfn.IFNA(VLOOKUP(_xlfn.CONCAT("T",K$1,"V",$D363,"A",$A363),Vulnerabilities!$G:$G,1,FALSE),"")</x:f>
      </x:c>
      <x:c r="L363" s="20" t="str">
        <x:f>_xlfn.IFNA(VLOOKUP(_xlfn.CONCAT("T",L$1,"V",$D363,"A",$A363),Vulnerabilities!$G:$G,1,FALSE),"")</x:f>
      </x:c>
      <x:c r="M363" s="20" t="str">
        <x:f>_xlfn.IFNA(VLOOKUP(_xlfn.CONCAT("T",M$1,"V",$D363,"A",$A363),Vulnerabilities!$G:$G,1,FALSE),"")</x:f>
      </x:c>
      <x:c r="N363" s="20" t="str">
        <x:f>_xlfn.IFNA(VLOOKUP(_xlfn.CONCAT("T",N$1,"V",$D363,"A",$A363),Vulnerabilities!$G:$G,1,FALSE),"")</x:f>
      </x:c>
      <x:c r="O363" s="20" t="str">
        <x:f>_xlfn.IFNA(VLOOKUP(_xlfn.CONCAT("T",O$1,"V",$D363,"A",$A363),Vulnerabilities!$G:$G,1,FALSE),"")</x:f>
      </x:c>
      <x:c r="P363" s="16" t="str">
        <x:f>_xlfn.IFNA(VLOOKUP(_xlfn.CONCAT("T",P$1,"V",$D363,"A",$A363),Vulnerabilities!$G:$G,1,FALSE),"")</x:f>
      </x:c>
    </x:row>
    <x:row r="364">
      <x:c r="A364" s="1">
        <x:f t="shared" si="6"/>
        <x:v>91</x:v>
      </x:c>
      <x:c r="B364" t="str">
        <x:f>IF(VLOOKUP($A364,Assets!$A:$C,2,FALSE)=0,"",VLOOKUP($A364,Assets!$A:$C,2,FALSE))</x:f>
      </x:c>
      <x:c r="C364" t="str">
        <x:f>IF(VLOOKUP($A364,Assets!$A:$C,3,FALSE)=0,"",VLOOKUP($A364,Assets!$A:$C,3,FALSE))</x:f>
      </x:c>
      <x:c r="D364" s="16">
        <x:v>2</x:v>
      </x:c>
      <x:c r="E364" s="20" t="str">
        <x:f>_xlfn.IFNA(VLOOKUP(_xlfn.CONCAT("T",E$1,"V",$D364,"A",$A364),Vulnerabilities!$G:$G,1,FALSE),"")</x:f>
      </x:c>
      <x:c r="F364" s="20" t="str">
        <x:f>_xlfn.IFNA(VLOOKUP(_xlfn.CONCAT("T",F$1,"V",$D364,"A",$A364),Vulnerabilities!$G:$G,1,FALSE),"")</x:f>
      </x:c>
      <x:c r="G364" s="20" t="str">
        <x:f>_xlfn.IFNA(VLOOKUP(_xlfn.CONCAT("T",G$1,"V",$D364,"A",$A364),Vulnerabilities!$G:$G,1,FALSE),"")</x:f>
      </x:c>
      <x:c r="H364" s="20" t="str">
        <x:f>_xlfn.IFNA(VLOOKUP(_xlfn.CONCAT("T",H$1,"V",$D364,"A",$A364),Vulnerabilities!$G:$G,1,FALSE),"")</x:f>
      </x:c>
      <x:c r="I364" s="20" t="str">
        <x:f>_xlfn.IFNA(VLOOKUP(_xlfn.CONCAT("T",I$1,"V",$D364,"A",$A364),Vulnerabilities!$G:$G,1,FALSE),"")</x:f>
      </x:c>
      <x:c r="J364" s="20" t="str">
        <x:f>_xlfn.IFNA(VLOOKUP(_xlfn.CONCAT("T",J$1,"V",$D364,"A",$A364),Vulnerabilities!$G:$G,1,FALSE),"")</x:f>
      </x:c>
      <x:c r="K364" s="20" t="str">
        <x:f>_xlfn.IFNA(VLOOKUP(_xlfn.CONCAT("T",K$1,"V",$D364,"A",$A364),Vulnerabilities!$G:$G,1,FALSE),"")</x:f>
      </x:c>
      <x:c r="L364" s="20" t="str">
        <x:f>_xlfn.IFNA(VLOOKUP(_xlfn.CONCAT("T",L$1,"V",$D364,"A",$A364),Vulnerabilities!$G:$G,1,FALSE),"")</x:f>
      </x:c>
      <x:c r="M364" s="20" t="str">
        <x:f>_xlfn.IFNA(VLOOKUP(_xlfn.CONCAT("T",M$1,"V",$D364,"A",$A364),Vulnerabilities!$G:$G,1,FALSE),"")</x:f>
      </x:c>
      <x:c r="N364" s="20" t="str">
        <x:f>_xlfn.IFNA(VLOOKUP(_xlfn.CONCAT("T",N$1,"V",$D364,"A",$A364),Vulnerabilities!$G:$G,1,FALSE),"")</x:f>
      </x:c>
      <x:c r="O364" s="20" t="str">
        <x:f>_xlfn.IFNA(VLOOKUP(_xlfn.CONCAT("T",O$1,"V",$D364,"A",$A364),Vulnerabilities!$G:$G,1,FALSE),"")</x:f>
      </x:c>
      <x:c r="P364" s="16" t="str">
        <x:f>_xlfn.IFNA(VLOOKUP(_xlfn.CONCAT("T",P$1,"V",$D364,"A",$A364),Vulnerabilities!$G:$G,1,FALSE),"")</x:f>
      </x:c>
    </x:row>
    <x:row r="365">
      <x:c r="A365" s="1">
        <x:f t="shared" si="6"/>
        <x:v>91</x:v>
      </x:c>
      <x:c r="B365" t="str">
        <x:f>IF(VLOOKUP($A365,Assets!$A:$C,2,FALSE)=0,"",VLOOKUP($A365,Assets!$A:$C,2,FALSE))</x:f>
      </x:c>
      <x:c r="C365" t="str">
        <x:f>IF(VLOOKUP($A365,Assets!$A:$C,3,FALSE)=0,"",VLOOKUP($A365,Assets!$A:$C,3,FALSE))</x:f>
      </x:c>
      <x:c r="D365" s="16">
        <x:v>3</x:v>
      </x:c>
      <x:c r="E365" s="20" t="str">
        <x:f>_xlfn.IFNA(VLOOKUP(_xlfn.CONCAT("T",E$1,"V",$D365,"A",$A365),Vulnerabilities!$G:$G,1,FALSE),"")</x:f>
      </x:c>
      <x:c r="F365" s="20" t="str">
        <x:f>_xlfn.IFNA(VLOOKUP(_xlfn.CONCAT("T",F$1,"V",$D365,"A",$A365),Vulnerabilities!$G:$G,1,FALSE),"")</x:f>
      </x:c>
      <x:c r="G365" s="20" t="str">
        <x:f>_xlfn.IFNA(VLOOKUP(_xlfn.CONCAT("T",G$1,"V",$D365,"A",$A365),Vulnerabilities!$G:$G,1,FALSE),"")</x:f>
      </x:c>
      <x:c r="H365" s="20" t="str">
        <x:f>_xlfn.IFNA(VLOOKUP(_xlfn.CONCAT("T",H$1,"V",$D365,"A",$A365),Vulnerabilities!$G:$G,1,FALSE),"")</x:f>
      </x:c>
      <x:c r="I365" s="20" t="str">
        <x:f>_xlfn.IFNA(VLOOKUP(_xlfn.CONCAT("T",I$1,"V",$D365,"A",$A365),Vulnerabilities!$G:$G,1,FALSE),"")</x:f>
      </x:c>
      <x:c r="J365" s="20" t="str">
        <x:f>_xlfn.IFNA(VLOOKUP(_xlfn.CONCAT("T",J$1,"V",$D365,"A",$A365),Vulnerabilities!$G:$G,1,FALSE),"")</x:f>
      </x:c>
      <x:c r="K365" s="20" t="str">
        <x:f>_xlfn.IFNA(VLOOKUP(_xlfn.CONCAT("T",K$1,"V",$D365,"A",$A365),Vulnerabilities!$G:$G,1,FALSE),"")</x:f>
      </x:c>
      <x:c r="L365" s="20" t="str">
        <x:f>_xlfn.IFNA(VLOOKUP(_xlfn.CONCAT("T",L$1,"V",$D365,"A",$A365),Vulnerabilities!$G:$G,1,FALSE),"")</x:f>
      </x:c>
      <x:c r="M365" s="20" t="str">
        <x:f>_xlfn.IFNA(VLOOKUP(_xlfn.CONCAT("T",M$1,"V",$D365,"A",$A365),Vulnerabilities!$G:$G,1,FALSE),"")</x:f>
      </x:c>
      <x:c r="N365" s="20" t="str">
        <x:f>_xlfn.IFNA(VLOOKUP(_xlfn.CONCAT("T",N$1,"V",$D365,"A",$A365),Vulnerabilities!$G:$G,1,FALSE),"")</x:f>
      </x:c>
      <x:c r="O365" s="20" t="str">
        <x:f>_xlfn.IFNA(VLOOKUP(_xlfn.CONCAT("T",O$1,"V",$D365,"A",$A365),Vulnerabilities!$G:$G,1,FALSE),"")</x:f>
      </x:c>
      <x:c r="P365" s="16" t="str">
        <x:f>_xlfn.IFNA(VLOOKUP(_xlfn.CONCAT("T",P$1,"V",$D365,"A",$A365),Vulnerabilities!$G:$G,1,FALSE),"")</x:f>
      </x:c>
    </x:row>
    <x:row r="366">
      <x:c r="A366" s="11">
        <x:f t="shared" si="6"/>
        <x:v>91</x:v>
      </x:c>
      <x:c r="B366" s="12" t="str">
        <x:f>IF(VLOOKUP($A366,Assets!$A:$C,2,FALSE)=0,"",VLOOKUP($A366,Assets!$A:$C,2,FALSE))</x:f>
      </x:c>
      <x:c r="C366" s="12" t="str">
        <x:f>IF(VLOOKUP($A366,Assets!$A:$C,3,FALSE)=0,"",VLOOKUP($A366,Assets!$A:$C,3,FALSE))</x:f>
      </x:c>
      <x:c r="D366" s="17">
        <x:v>4</x:v>
      </x:c>
      <x:c r="E366" s="21" t="str">
        <x:f>_xlfn.IFNA(VLOOKUP(_xlfn.CONCAT("T",E$1,"V",$D366,"A",$A366),Vulnerabilities!$G:$G,1,FALSE),"")</x:f>
      </x:c>
      <x:c r="F366" s="21" t="str">
        <x:f>_xlfn.IFNA(VLOOKUP(_xlfn.CONCAT("T",F$1,"V",$D366,"A",$A366),Vulnerabilities!$G:$G,1,FALSE),"")</x:f>
      </x:c>
      <x:c r="G366" s="21" t="str">
        <x:f>_xlfn.IFNA(VLOOKUP(_xlfn.CONCAT("T",G$1,"V",$D366,"A",$A366),Vulnerabilities!$G:$G,1,FALSE),"")</x:f>
      </x:c>
      <x:c r="H366" s="21" t="str">
        <x:f>_xlfn.IFNA(VLOOKUP(_xlfn.CONCAT("T",H$1,"V",$D366,"A",$A366),Vulnerabilities!$G:$G,1,FALSE),"")</x:f>
      </x:c>
      <x:c r="I366" s="21" t="str">
        <x:f>_xlfn.IFNA(VLOOKUP(_xlfn.CONCAT("T",I$1,"V",$D366,"A",$A366),Vulnerabilities!$G:$G,1,FALSE),"")</x:f>
      </x:c>
      <x:c r="J366" s="21" t="str">
        <x:f>_xlfn.IFNA(VLOOKUP(_xlfn.CONCAT("T",J$1,"V",$D366,"A",$A366),Vulnerabilities!$G:$G,1,FALSE),"")</x:f>
      </x:c>
      <x:c r="K366" s="21" t="str">
        <x:f>_xlfn.IFNA(VLOOKUP(_xlfn.CONCAT("T",K$1,"V",$D366,"A",$A366),Vulnerabilities!$G:$G,1,FALSE),"")</x:f>
      </x:c>
      <x:c r="L366" s="21" t="str">
        <x:f>_xlfn.IFNA(VLOOKUP(_xlfn.CONCAT("T",L$1,"V",$D366,"A",$A366),Vulnerabilities!$G:$G,1,FALSE),"")</x:f>
      </x:c>
      <x:c r="M366" s="21" t="str">
        <x:f>_xlfn.IFNA(VLOOKUP(_xlfn.CONCAT("T",M$1,"V",$D366,"A",$A366),Vulnerabilities!$G:$G,1,FALSE),"")</x:f>
      </x:c>
      <x:c r="N366" s="21" t="str">
        <x:f>_xlfn.IFNA(VLOOKUP(_xlfn.CONCAT("T",N$1,"V",$D366,"A",$A366),Vulnerabilities!$G:$G,1,FALSE),"")</x:f>
      </x:c>
      <x:c r="O366" s="21" t="str">
        <x:f>_xlfn.IFNA(VLOOKUP(_xlfn.CONCAT("T",O$1,"V",$D366,"A",$A366),Vulnerabilities!$G:$G,1,FALSE),"")</x:f>
      </x:c>
      <x:c r="P366" s="17" t="str">
        <x:f>_xlfn.IFNA(VLOOKUP(_xlfn.CONCAT("T",P$1,"V",$D366,"A",$A366),Vulnerabilities!$G:$G,1,FALSE),"")</x:f>
      </x:c>
    </x:row>
    <x:row r="367">
      <x:c r="A367" s="1">
        <x:f t="shared" si="6"/>
        <x:v>92</x:v>
      </x:c>
      <x:c r="B367" t="str">
        <x:f>IF(VLOOKUP($A367,Assets!$A:$C,2,FALSE)=0,"",VLOOKUP($A367,Assets!$A:$C,2,FALSE))</x:f>
      </x:c>
      <x:c r="C367" t="str">
        <x:f>IF(VLOOKUP($A367,Assets!$A:$C,3,FALSE)=0,"",VLOOKUP($A367,Assets!$A:$C,3,FALSE))</x:f>
      </x:c>
      <x:c r="D367" s="16">
        <x:v>1</x:v>
      </x:c>
      <x:c r="E367" s="20" t="str">
        <x:f>_xlfn.IFNA(VLOOKUP(_xlfn.CONCAT("T",E$1,"V",$D367,"A",$A367),Vulnerabilities!$G:$G,1,FALSE),"")</x:f>
      </x:c>
      <x:c r="F367" s="20" t="str">
        <x:f>_xlfn.IFNA(VLOOKUP(_xlfn.CONCAT("T",F$1,"V",$D367,"A",$A367),Vulnerabilities!$G:$G,1,FALSE),"")</x:f>
      </x:c>
      <x:c r="G367" s="20" t="str">
        <x:f>_xlfn.IFNA(VLOOKUP(_xlfn.CONCAT("T",G$1,"V",$D367,"A",$A367),Vulnerabilities!$G:$G,1,FALSE),"")</x:f>
      </x:c>
      <x:c r="H367" s="20" t="str">
        <x:f>_xlfn.IFNA(VLOOKUP(_xlfn.CONCAT("T",H$1,"V",$D367,"A",$A367),Vulnerabilities!$G:$G,1,FALSE),"")</x:f>
      </x:c>
      <x:c r="I367" s="20" t="str">
        <x:f>_xlfn.IFNA(VLOOKUP(_xlfn.CONCAT("T",I$1,"V",$D367,"A",$A367),Vulnerabilities!$G:$G,1,FALSE),"")</x:f>
      </x:c>
      <x:c r="J367" s="20" t="str">
        <x:f>_xlfn.IFNA(VLOOKUP(_xlfn.CONCAT("T",J$1,"V",$D367,"A",$A367),Vulnerabilities!$G:$G,1,FALSE),"")</x:f>
      </x:c>
      <x:c r="K367" s="20" t="str">
        <x:f>_xlfn.IFNA(VLOOKUP(_xlfn.CONCAT("T",K$1,"V",$D367,"A",$A367),Vulnerabilities!$G:$G,1,FALSE),"")</x:f>
      </x:c>
      <x:c r="L367" s="20" t="str">
        <x:f>_xlfn.IFNA(VLOOKUP(_xlfn.CONCAT("T",L$1,"V",$D367,"A",$A367),Vulnerabilities!$G:$G,1,FALSE),"")</x:f>
      </x:c>
      <x:c r="M367" s="20" t="str">
        <x:f>_xlfn.IFNA(VLOOKUP(_xlfn.CONCAT("T",M$1,"V",$D367,"A",$A367),Vulnerabilities!$G:$G,1,FALSE),"")</x:f>
      </x:c>
      <x:c r="N367" s="20" t="str">
        <x:f>_xlfn.IFNA(VLOOKUP(_xlfn.CONCAT("T",N$1,"V",$D367,"A",$A367),Vulnerabilities!$G:$G,1,FALSE),"")</x:f>
      </x:c>
      <x:c r="O367" s="20" t="str">
        <x:f>_xlfn.IFNA(VLOOKUP(_xlfn.CONCAT("T",O$1,"V",$D367,"A",$A367),Vulnerabilities!$G:$G,1,FALSE),"")</x:f>
      </x:c>
      <x:c r="P367" s="16" t="str">
        <x:f>_xlfn.IFNA(VLOOKUP(_xlfn.CONCAT("T",P$1,"V",$D367,"A",$A367),Vulnerabilities!$G:$G,1,FALSE),"")</x:f>
      </x:c>
    </x:row>
    <x:row r="368">
      <x:c r="A368" s="1">
        <x:f t="shared" si="6"/>
        <x:v>92</x:v>
      </x:c>
      <x:c r="B368" t="str">
        <x:f>IF(VLOOKUP($A368,Assets!$A:$C,2,FALSE)=0,"",VLOOKUP($A368,Assets!$A:$C,2,FALSE))</x:f>
      </x:c>
      <x:c r="C368" t="str">
        <x:f>IF(VLOOKUP($A368,Assets!$A:$C,3,FALSE)=0,"",VLOOKUP($A368,Assets!$A:$C,3,FALSE))</x:f>
      </x:c>
      <x:c r="D368" s="16">
        <x:v>2</x:v>
      </x:c>
      <x:c r="E368" s="20" t="str">
        <x:f>_xlfn.IFNA(VLOOKUP(_xlfn.CONCAT("T",E$1,"V",$D368,"A",$A368),Vulnerabilities!$G:$G,1,FALSE),"")</x:f>
      </x:c>
      <x:c r="F368" s="20" t="str">
        <x:f>_xlfn.IFNA(VLOOKUP(_xlfn.CONCAT("T",F$1,"V",$D368,"A",$A368),Vulnerabilities!$G:$G,1,FALSE),"")</x:f>
      </x:c>
      <x:c r="G368" s="20" t="str">
        <x:f>_xlfn.IFNA(VLOOKUP(_xlfn.CONCAT("T",G$1,"V",$D368,"A",$A368),Vulnerabilities!$G:$G,1,FALSE),"")</x:f>
      </x:c>
      <x:c r="H368" s="20" t="str">
        <x:f>_xlfn.IFNA(VLOOKUP(_xlfn.CONCAT("T",H$1,"V",$D368,"A",$A368),Vulnerabilities!$G:$G,1,FALSE),"")</x:f>
      </x:c>
      <x:c r="I368" s="20" t="str">
        <x:f>_xlfn.IFNA(VLOOKUP(_xlfn.CONCAT("T",I$1,"V",$D368,"A",$A368),Vulnerabilities!$G:$G,1,FALSE),"")</x:f>
      </x:c>
      <x:c r="J368" s="20" t="str">
        <x:f>_xlfn.IFNA(VLOOKUP(_xlfn.CONCAT("T",J$1,"V",$D368,"A",$A368),Vulnerabilities!$G:$G,1,FALSE),"")</x:f>
      </x:c>
      <x:c r="K368" s="20" t="str">
        <x:f>_xlfn.IFNA(VLOOKUP(_xlfn.CONCAT("T",K$1,"V",$D368,"A",$A368),Vulnerabilities!$G:$G,1,FALSE),"")</x:f>
      </x:c>
      <x:c r="L368" s="20" t="str">
        <x:f>_xlfn.IFNA(VLOOKUP(_xlfn.CONCAT("T",L$1,"V",$D368,"A",$A368),Vulnerabilities!$G:$G,1,FALSE),"")</x:f>
      </x:c>
      <x:c r="M368" s="20" t="str">
        <x:f>_xlfn.IFNA(VLOOKUP(_xlfn.CONCAT("T",M$1,"V",$D368,"A",$A368),Vulnerabilities!$G:$G,1,FALSE),"")</x:f>
      </x:c>
      <x:c r="N368" s="20" t="str">
        <x:f>_xlfn.IFNA(VLOOKUP(_xlfn.CONCAT("T",N$1,"V",$D368,"A",$A368),Vulnerabilities!$G:$G,1,FALSE),"")</x:f>
      </x:c>
      <x:c r="O368" s="20" t="str">
        <x:f>_xlfn.IFNA(VLOOKUP(_xlfn.CONCAT("T",O$1,"V",$D368,"A",$A368),Vulnerabilities!$G:$G,1,FALSE),"")</x:f>
      </x:c>
      <x:c r="P368" s="16" t="str">
        <x:f>_xlfn.IFNA(VLOOKUP(_xlfn.CONCAT("T",P$1,"V",$D368,"A",$A368),Vulnerabilities!$G:$G,1,FALSE),"")</x:f>
      </x:c>
    </x:row>
    <x:row r="369">
      <x:c r="A369" s="1">
        <x:f t="shared" si="6"/>
        <x:v>92</x:v>
      </x:c>
      <x:c r="B369" t="str">
        <x:f>IF(VLOOKUP($A369,Assets!$A:$C,2,FALSE)=0,"",VLOOKUP($A369,Assets!$A:$C,2,FALSE))</x:f>
      </x:c>
      <x:c r="C369" t="str">
        <x:f>IF(VLOOKUP($A369,Assets!$A:$C,3,FALSE)=0,"",VLOOKUP($A369,Assets!$A:$C,3,FALSE))</x:f>
      </x:c>
      <x:c r="D369" s="16">
        <x:v>3</x:v>
      </x:c>
      <x:c r="E369" s="20" t="str">
        <x:f>_xlfn.IFNA(VLOOKUP(_xlfn.CONCAT("T",E$1,"V",$D369,"A",$A369),Vulnerabilities!$G:$G,1,FALSE),"")</x:f>
      </x:c>
      <x:c r="F369" s="20" t="str">
        <x:f>_xlfn.IFNA(VLOOKUP(_xlfn.CONCAT("T",F$1,"V",$D369,"A",$A369),Vulnerabilities!$G:$G,1,FALSE),"")</x:f>
      </x:c>
      <x:c r="G369" s="20" t="str">
        <x:f>_xlfn.IFNA(VLOOKUP(_xlfn.CONCAT("T",G$1,"V",$D369,"A",$A369),Vulnerabilities!$G:$G,1,FALSE),"")</x:f>
      </x:c>
      <x:c r="H369" s="20" t="str">
        <x:f>_xlfn.IFNA(VLOOKUP(_xlfn.CONCAT("T",H$1,"V",$D369,"A",$A369),Vulnerabilities!$G:$G,1,FALSE),"")</x:f>
      </x:c>
      <x:c r="I369" s="20" t="str">
        <x:f>_xlfn.IFNA(VLOOKUP(_xlfn.CONCAT("T",I$1,"V",$D369,"A",$A369),Vulnerabilities!$G:$G,1,FALSE),"")</x:f>
      </x:c>
      <x:c r="J369" s="20" t="str">
        <x:f>_xlfn.IFNA(VLOOKUP(_xlfn.CONCAT("T",J$1,"V",$D369,"A",$A369),Vulnerabilities!$G:$G,1,FALSE),"")</x:f>
      </x:c>
      <x:c r="K369" s="20" t="str">
        <x:f>_xlfn.IFNA(VLOOKUP(_xlfn.CONCAT("T",K$1,"V",$D369,"A",$A369),Vulnerabilities!$G:$G,1,FALSE),"")</x:f>
      </x:c>
      <x:c r="L369" s="20" t="str">
        <x:f>_xlfn.IFNA(VLOOKUP(_xlfn.CONCAT("T",L$1,"V",$D369,"A",$A369),Vulnerabilities!$G:$G,1,FALSE),"")</x:f>
      </x:c>
      <x:c r="M369" s="20" t="str">
        <x:f>_xlfn.IFNA(VLOOKUP(_xlfn.CONCAT("T",M$1,"V",$D369,"A",$A369),Vulnerabilities!$G:$G,1,FALSE),"")</x:f>
      </x:c>
      <x:c r="N369" s="20" t="str">
        <x:f>_xlfn.IFNA(VLOOKUP(_xlfn.CONCAT("T",N$1,"V",$D369,"A",$A369),Vulnerabilities!$G:$G,1,FALSE),"")</x:f>
      </x:c>
      <x:c r="O369" s="20" t="str">
        <x:f>_xlfn.IFNA(VLOOKUP(_xlfn.CONCAT("T",O$1,"V",$D369,"A",$A369),Vulnerabilities!$G:$G,1,FALSE),"")</x:f>
      </x:c>
      <x:c r="P369" s="16" t="str">
        <x:f>_xlfn.IFNA(VLOOKUP(_xlfn.CONCAT("T",P$1,"V",$D369,"A",$A369),Vulnerabilities!$G:$G,1,FALSE),"")</x:f>
      </x:c>
    </x:row>
    <x:row r="370">
      <x:c r="A370" s="11">
        <x:f t="shared" si="6"/>
        <x:v>92</x:v>
      </x:c>
      <x:c r="B370" s="12" t="str">
        <x:f>IF(VLOOKUP($A370,Assets!$A:$C,2,FALSE)=0,"",VLOOKUP($A370,Assets!$A:$C,2,FALSE))</x:f>
      </x:c>
      <x:c r="C370" s="12" t="str">
        <x:f>IF(VLOOKUP($A370,Assets!$A:$C,3,FALSE)=0,"",VLOOKUP($A370,Assets!$A:$C,3,FALSE))</x:f>
      </x:c>
      <x:c r="D370" s="17">
        <x:v>4</x:v>
      </x:c>
      <x:c r="E370" s="21" t="str">
        <x:f>_xlfn.IFNA(VLOOKUP(_xlfn.CONCAT("T",E$1,"V",$D370,"A",$A370),Vulnerabilities!$G:$G,1,FALSE),"")</x:f>
      </x:c>
      <x:c r="F370" s="21" t="str">
        <x:f>_xlfn.IFNA(VLOOKUP(_xlfn.CONCAT("T",F$1,"V",$D370,"A",$A370),Vulnerabilities!$G:$G,1,FALSE),"")</x:f>
      </x:c>
      <x:c r="G370" s="21" t="str">
        <x:f>_xlfn.IFNA(VLOOKUP(_xlfn.CONCAT("T",G$1,"V",$D370,"A",$A370),Vulnerabilities!$G:$G,1,FALSE),"")</x:f>
      </x:c>
      <x:c r="H370" s="21" t="str">
        <x:f>_xlfn.IFNA(VLOOKUP(_xlfn.CONCAT("T",H$1,"V",$D370,"A",$A370),Vulnerabilities!$G:$G,1,FALSE),"")</x:f>
      </x:c>
      <x:c r="I370" s="21" t="str">
        <x:f>_xlfn.IFNA(VLOOKUP(_xlfn.CONCAT("T",I$1,"V",$D370,"A",$A370),Vulnerabilities!$G:$G,1,FALSE),"")</x:f>
      </x:c>
      <x:c r="J370" s="21" t="str">
        <x:f>_xlfn.IFNA(VLOOKUP(_xlfn.CONCAT("T",J$1,"V",$D370,"A",$A370),Vulnerabilities!$G:$G,1,FALSE),"")</x:f>
      </x:c>
      <x:c r="K370" s="21" t="str">
        <x:f>_xlfn.IFNA(VLOOKUP(_xlfn.CONCAT("T",K$1,"V",$D370,"A",$A370),Vulnerabilities!$G:$G,1,FALSE),"")</x:f>
      </x:c>
      <x:c r="L370" s="21" t="str">
        <x:f>_xlfn.IFNA(VLOOKUP(_xlfn.CONCAT("T",L$1,"V",$D370,"A",$A370),Vulnerabilities!$G:$G,1,FALSE),"")</x:f>
      </x:c>
      <x:c r="M370" s="21" t="str">
        <x:f>_xlfn.IFNA(VLOOKUP(_xlfn.CONCAT("T",M$1,"V",$D370,"A",$A370),Vulnerabilities!$G:$G,1,FALSE),"")</x:f>
      </x:c>
      <x:c r="N370" s="21" t="str">
        <x:f>_xlfn.IFNA(VLOOKUP(_xlfn.CONCAT("T",N$1,"V",$D370,"A",$A370),Vulnerabilities!$G:$G,1,FALSE),"")</x:f>
      </x:c>
      <x:c r="O370" s="21" t="str">
        <x:f>_xlfn.IFNA(VLOOKUP(_xlfn.CONCAT("T",O$1,"V",$D370,"A",$A370),Vulnerabilities!$G:$G,1,FALSE),"")</x:f>
      </x:c>
      <x:c r="P370" s="17" t="str">
        <x:f>_xlfn.IFNA(VLOOKUP(_xlfn.CONCAT("T",P$1,"V",$D370,"A",$A370),Vulnerabilities!$G:$G,1,FALSE),"")</x:f>
      </x:c>
    </x:row>
    <x:row r="371">
      <x:c r="A371" s="1">
        <x:f t="shared" si="6"/>
        <x:v>93</x:v>
      </x:c>
      <x:c r="B371" t="str">
        <x:f>IF(VLOOKUP($A371,Assets!$A:$C,2,FALSE)=0,"",VLOOKUP($A371,Assets!$A:$C,2,FALSE))</x:f>
      </x:c>
      <x:c r="C371" t="str">
        <x:f>IF(VLOOKUP($A371,Assets!$A:$C,3,FALSE)=0,"",VLOOKUP($A371,Assets!$A:$C,3,FALSE))</x:f>
      </x:c>
      <x:c r="D371" s="16">
        <x:v>1</x:v>
      </x:c>
      <x:c r="E371" s="20" t="str">
        <x:f>_xlfn.IFNA(VLOOKUP(_xlfn.CONCAT("T",E$1,"V",$D371,"A",$A371),Vulnerabilities!$G:$G,1,FALSE),"")</x:f>
      </x:c>
      <x:c r="F371" s="20" t="str">
        <x:f>_xlfn.IFNA(VLOOKUP(_xlfn.CONCAT("T",F$1,"V",$D371,"A",$A371),Vulnerabilities!$G:$G,1,FALSE),"")</x:f>
      </x:c>
      <x:c r="G371" s="20" t="str">
        <x:f>_xlfn.IFNA(VLOOKUP(_xlfn.CONCAT("T",G$1,"V",$D371,"A",$A371),Vulnerabilities!$G:$G,1,FALSE),"")</x:f>
      </x:c>
      <x:c r="H371" s="20" t="str">
        <x:f>_xlfn.IFNA(VLOOKUP(_xlfn.CONCAT("T",H$1,"V",$D371,"A",$A371),Vulnerabilities!$G:$G,1,FALSE),"")</x:f>
      </x:c>
      <x:c r="I371" s="20" t="str">
        <x:f>_xlfn.IFNA(VLOOKUP(_xlfn.CONCAT("T",I$1,"V",$D371,"A",$A371),Vulnerabilities!$G:$G,1,FALSE),"")</x:f>
      </x:c>
      <x:c r="J371" s="20" t="str">
        <x:f>_xlfn.IFNA(VLOOKUP(_xlfn.CONCAT("T",J$1,"V",$D371,"A",$A371),Vulnerabilities!$G:$G,1,FALSE),"")</x:f>
      </x:c>
      <x:c r="K371" s="20" t="str">
        <x:f>_xlfn.IFNA(VLOOKUP(_xlfn.CONCAT("T",K$1,"V",$D371,"A",$A371),Vulnerabilities!$G:$G,1,FALSE),"")</x:f>
      </x:c>
      <x:c r="L371" s="20" t="str">
        <x:f>_xlfn.IFNA(VLOOKUP(_xlfn.CONCAT("T",L$1,"V",$D371,"A",$A371),Vulnerabilities!$G:$G,1,FALSE),"")</x:f>
      </x:c>
      <x:c r="M371" s="20" t="str">
        <x:f>_xlfn.IFNA(VLOOKUP(_xlfn.CONCAT("T",M$1,"V",$D371,"A",$A371),Vulnerabilities!$G:$G,1,FALSE),"")</x:f>
      </x:c>
      <x:c r="N371" s="20" t="str">
        <x:f>_xlfn.IFNA(VLOOKUP(_xlfn.CONCAT("T",N$1,"V",$D371,"A",$A371),Vulnerabilities!$G:$G,1,FALSE),"")</x:f>
      </x:c>
      <x:c r="O371" s="20" t="str">
        <x:f>_xlfn.IFNA(VLOOKUP(_xlfn.CONCAT("T",O$1,"V",$D371,"A",$A371),Vulnerabilities!$G:$G,1,FALSE),"")</x:f>
      </x:c>
      <x:c r="P371" s="16" t="str">
        <x:f>_xlfn.IFNA(VLOOKUP(_xlfn.CONCAT("T",P$1,"V",$D371,"A",$A371),Vulnerabilities!$G:$G,1,FALSE),"")</x:f>
      </x:c>
    </x:row>
    <x:row r="372">
      <x:c r="A372" s="1">
        <x:f t="shared" si="6"/>
        <x:v>93</x:v>
      </x:c>
      <x:c r="B372" t="str">
        <x:f>IF(VLOOKUP($A372,Assets!$A:$C,2,FALSE)=0,"",VLOOKUP($A372,Assets!$A:$C,2,FALSE))</x:f>
      </x:c>
      <x:c r="C372" t="str">
        <x:f>IF(VLOOKUP($A372,Assets!$A:$C,3,FALSE)=0,"",VLOOKUP($A372,Assets!$A:$C,3,FALSE))</x:f>
      </x:c>
      <x:c r="D372" s="16">
        <x:v>2</x:v>
      </x:c>
      <x:c r="E372" s="20" t="str">
        <x:f>_xlfn.IFNA(VLOOKUP(_xlfn.CONCAT("T",E$1,"V",$D372,"A",$A372),Vulnerabilities!$G:$G,1,FALSE),"")</x:f>
      </x:c>
      <x:c r="F372" s="20" t="str">
        <x:f>_xlfn.IFNA(VLOOKUP(_xlfn.CONCAT("T",F$1,"V",$D372,"A",$A372),Vulnerabilities!$G:$G,1,FALSE),"")</x:f>
      </x:c>
      <x:c r="G372" s="20" t="str">
        <x:f>_xlfn.IFNA(VLOOKUP(_xlfn.CONCAT("T",G$1,"V",$D372,"A",$A372),Vulnerabilities!$G:$G,1,FALSE),"")</x:f>
      </x:c>
      <x:c r="H372" s="20" t="str">
        <x:f>_xlfn.IFNA(VLOOKUP(_xlfn.CONCAT("T",H$1,"V",$D372,"A",$A372),Vulnerabilities!$G:$G,1,FALSE),"")</x:f>
      </x:c>
      <x:c r="I372" s="20" t="str">
        <x:f>_xlfn.IFNA(VLOOKUP(_xlfn.CONCAT("T",I$1,"V",$D372,"A",$A372),Vulnerabilities!$G:$G,1,FALSE),"")</x:f>
      </x:c>
      <x:c r="J372" s="20" t="str">
        <x:f>_xlfn.IFNA(VLOOKUP(_xlfn.CONCAT("T",J$1,"V",$D372,"A",$A372),Vulnerabilities!$G:$G,1,FALSE),"")</x:f>
      </x:c>
      <x:c r="K372" s="20" t="str">
        <x:f>_xlfn.IFNA(VLOOKUP(_xlfn.CONCAT("T",K$1,"V",$D372,"A",$A372),Vulnerabilities!$G:$G,1,FALSE),"")</x:f>
      </x:c>
      <x:c r="L372" s="20" t="str">
        <x:f>_xlfn.IFNA(VLOOKUP(_xlfn.CONCAT("T",L$1,"V",$D372,"A",$A372),Vulnerabilities!$G:$G,1,FALSE),"")</x:f>
      </x:c>
      <x:c r="M372" s="20" t="str">
        <x:f>_xlfn.IFNA(VLOOKUP(_xlfn.CONCAT("T",M$1,"V",$D372,"A",$A372),Vulnerabilities!$G:$G,1,FALSE),"")</x:f>
      </x:c>
      <x:c r="N372" s="20" t="str">
        <x:f>_xlfn.IFNA(VLOOKUP(_xlfn.CONCAT("T",N$1,"V",$D372,"A",$A372),Vulnerabilities!$G:$G,1,FALSE),"")</x:f>
      </x:c>
      <x:c r="O372" s="20" t="str">
        <x:f>_xlfn.IFNA(VLOOKUP(_xlfn.CONCAT("T",O$1,"V",$D372,"A",$A372),Vulnerabilities!$G:$G,1,FALSE),"")</x:f>
      </x:c>
      <x:c r="P372" s="16" t="str">
        <x:f>_xlfn.IFNA(VLOOKUP(_xlfn.CONCAT("T",P$1,"V",$D372,"A",$A372),Vulnerabilities!$G:$G,1,FALSE),"")</x:f>
      </x:c>
    </x:row>
    <x:row r="373">
      <x:c r="A373" s="1">
        <x:f t="shared" si="6"/>
        <x:v>93</x:v>
      </x:c>
      <x:c r="B373" t="str">
        <x:f>IF(VLOOKUP($A373,Assets!$A:$C,2,FALSE)=0,"",VLOOKUP($A373,Assets!$A:$C,2,FALSE))</x:f>
      </x:c>
      <x:c r="C373" t="str">
        <x:f>IF(VLOOKUP($A373,Assets!$A:$C,3,FALSE)=0,"",VLOOKUP($A373,Assets!$A:$C,3,FALSE))</x:f>
      </x:c>
      <x:c r="D373" s="16">
        <x:v>3</x:v>
      </x:c>
      <x:c r="E373" s="20" t="str">
        <x:f>_xlfn.IFNA(VLOOKUP(_xlfn.CONCAT("T",E$1,"V",$D373,"A",$A373),Vulnerabilities!$G:$G,1,FALSE),"")</x:f>
      </x:c>
      <x:c r="F373" s="20" t="str">
        <x:f>_xlfn.IFNA(VLOOKUP(_xlfn.CONCAT("T",F$1,"V",$D373,"A",$A373),Vulnerabilities!$G:$G,1,FALSE),"")</x:f>
      </x:c>
      <x:c r="G373" s="20" t="str">
        <x:f>_xlfn.IFNA(VLOOKUP(_xlfn.CONCAT("T",G$1,"V",$D373,"A",$A373),Vulnerabilities!$G:$G,1,FALSE),"")</x:f>
      </x:c>
      <x:c r="H373" s="20" t="str">
        <x:f>_xlfn.IFNA(VLOOKUP(_xlfn.CONCAT("T",H$1,"V",$D373,"A",$A373),Vulnerabilities!$G:$G,1,FALSE),"")</x:f>
      </x:c>
      <x:c r="I373" s="20" t="str">
        <x:f>_xlfn.IFNA(VLOOKUP(_xlfn.CONCAT("T",I$1,"V",$D373,"A",$A373),Vulnerabilities!$G:$G,1,FALSE),"")</x:f>
      </x:c>
      <x:c r="J373" s="20" t="str">
        <x:f>_xlfn.IFNA(VLOOKUP(_xlfn.CONCAT("T",J$1,"V",$D373,"A",$A373),Vulnerabilities!$G:$G,1,FALSE),"")</x:f>
      </x:c>
      <x:c r="K373" s="20" t="str">
        <x:f>_xlfn.IFNA(VLOOKUP(_xlfn.CONCAT("T",K$1,"V",$D373,"A",$A373),Vulnerabilities!$G:$G,1,FALSE),"")</x:f>
      </x:c>
      <x:c r="L373" s="20" t="str">
        <x:f>_xlfn.IFNA(VLOOKUP(_xlfn.CONCAT("T",L$1,"V",$D373,"A",$A373),Vulnerabilities!$G:$G,1,FALSE),"")</x:f>
      </x:c>
      <x:c r="M373" s="20" t="str">
        <x:f>_xlfn.IFNA(VLOOKUP(_xlfn.CONCAT("T",M$1,"V",$D373,"A",$A373),Vulnerabilities!$G:$G,1,FALSE),"")</x:f>
      </x:c>
      <x:c r="N373" s="20" t="str">
        <x:f>_xlfn.IFNA(VLOOKUP(_xlfn.CONCAT("T",N$1,"V",$D373,"A",$A373),Vulnerabilities!$G:$G,1,FALSE),"")</x:f>
      </x:c>
      <x:c r="O373" s="20" t="str">
        <x:f>_xlfn.IFNA(VLOOKUP(_xlfn.CONCAT("T",O$1,"V",$D373,"A",$A373),Vulnerabilities!$G:$G,1,FALSE),"")</x:f>
      </x:c>
      <x:c r="P373" s="16" t="str">
        <x:f>_xlfn.IFNA(VLOOKUP(_xlfn.CONCAT("T",P$1,"V",$D373,"A",$A373),Vulnerabilities!$G:$G,1,FALSE),"")</x:f>
      </x:c>
    </x:row>
    <x:row r="374">
      <x:c r="A374" s="11">
        <x:f t="shared" si="6"/>
        <x:v>93</x:v>
      </x:c>
      <x:c r="B374" s="12" t="str">
        <x:f>IF(VLOOKUP($A374,Assets!$A:$C,2,FALSE)=0,"",VLOOKUP($A374,Assets!$A:$C,2,FALSE))</x:f>
      </x:c>
      <x:c r="C374" s="12" t="str">
        <x:f>IF(VLOOKUP($A374,Assets!$A:$C,3,FALSE)=0,"",VLOOKUP($A374,Assets!$A:$C,3,FALSE))</x:f>
      </x:c>
      <x:c r="D374" s="17">
        <x:v>4</x:v>
      </x:c>
      <x:c r="E374" s="21" t="str">
        <x:f>_xlfn.IFNA(VLOOKUP(_xlfn.CONCAT("T",E$1,"V",$D374,"A",$A374),Vulnerabilities!$G:$G,1,FALSE),"")</x:f>
      </x:c>
      <x:c r="F374" s="21" t="str">
        <x:f>_xlfn.IFNA(VLOOKUP(_xlfn.CONCAT("T",F$1,"V",$D374,"A",$A374),Vulnerabilities!$G:$G,1,FALSE),"")</x:f>
      </x:c>
      <x:c r="G374" s="21" t="str">
        <x:f>_xlfn.IFNA(VLOOKUP(_xlfn.CONCAT("T",G$1,"V",$D374,"A",$A374),Vulnerabilities!$G:$G,1,FALSE),"")</x:f>
      </x:c>
      <x:c r="H374" s="21" t="str">
        <x:f>_xlfn.IFNA(VLOOKUP(_xlfn.CONCAT("T",H$1,"V",$D374,"A",$A374),Vulnerabilities!$G:$G,1,FALSE),"")</x:f>
      </x:c>
      <x:c r="I374" s="21" t="str">
        <x:f>_xlfn.IFNA(VLOOKUP(_xlfn.CONCAT("T",I$1,"V",$D374,"A",$A374),Vulnerabilities!$G:$G,1,FALSE),"")</x:f>
      </x:c>
      <x:c r="J374" s="21" t="str">
        <x:f>_xlfn.IFNA(VLOOKUP(_xlfn.CONCAT("T",J$1,"V",$D374,"A",$A374),Vulnerabilities!$G:$G,1,FALSE),"")</x:f>
      </x:c>
      <x:c r="K374" s="21" t="str">
        <x:f>_xlfn.IFNA(VLOOKUP(_xlfn.CONCAT("T",K$1,"V",$D374,"A",$A374),Vulnerabilities!$G:$G,1,FALSE),"")</x:f>
      </x:c>
      <x:c r="L374" s="21" t="str">
        <x:f>_xlfn.IFNA(VLOOKUP(_xlfn.CONCAT("T",L$1,"V",$D374,"A",$A374),Vulnerabilities!$G:$G,1,FALSE),"")</x:f>
      </x:c>
      <x:c r="M374" s="21" t="str">
        <x:f>_xlfn.IFNA(VLOOKUP(_xlfn.CONCAT("T",M$1,"V",$D374,"A",$A374),Vulnerabilities!$G:$G,1,FALSE),"")</x:f>
      </x:c>
      <x:c r="N374" s="21" t="str">
        <x:f>_xlfn.IFNA(VLOOKUP(_xlfn.CONCAT("T",N$1,"V",$D374,"A",$A374),Vulnerabilities!$G:$G,1,FALSE),"")</x:f>
      </x:c>
      <x:c r="O374" s="21" t="str">
        <x:f>_xlfn.IFNA(VLOOKUP(_xlfn.CONCAT("T",O$1,"V",$D374,"A",$A374),Vulnerabilities!$G:$G,1,FALSE),"")</x:f>
      </x:c>
      <x:c r="P374" s="17" t="str">
        <x:f>_xlfn.IFNA(VLOOKUP(_xlfn.CONCAT("T",P$1,"V",$D374,"A",$A374),Vulnerabilities!$G:$G,1,FALSE),"")</x:f>
      </x:c>
    </x:row>
    <x:row r="375">
      <x:c r="A375" s="1">
        <x:f t="shared" si="6"/>
        <x:v>94</x:v>
      </x:c>
      <x:c r="B375" t="str">
        <x:f>IF(VLOOKUP($A375,Assets!$A:$C,2,FALSE)=0,"",VLOOKUP($A375,Assets!$A:$C,2,FALSE))</x:f>
      </x:c>
      <x:c r="C375" t="str">
        <x:f>IF(VLOOKUP($A375,Assets!$A:$C,3,FALSE)=0,"",VLOOKUP($A375,Assets!$A:$C,3,FALSE))</x:f>
      </x:c>
      <x:c r="D375" s="16">
        <x:v>1</x:v>
      </x:c>
      <x:c r="E375" s="20" t="str">
        <x:f>_xlfn.IFNA(VLOOKUP(_xlfn.CONCAT("T",E$1,"V",$D375,"A",$A375),Vulnerabilities!$G:$G,1,FALSE),"")</x:f>
      </x:c>
      <x:c r="F375" s="20" t="str">
        <x:f>_xlfn.IFNA(VLOOKUP(_xlfn.CONCAT("T",F$1,"V",$D375,"A",$A375),Vulnerabilities!$G:$G,1,FALSE),"")</x:f>
      </x:c>
      <x:c r="G375" s="20" t="str">
        <x:f>_xlfn.IFNA(VLOOKUP(_xlfn.CONCAT("T",G$1,"V",$D375,"A",$A375),Vulnerabilities!$G:$G,1,FALSE),"")</x:f>
      </x:c>
      <x:c r="H375" s="20" t="str">
        <x:f>_xlfn.IFNA(VLOOKUP(_xlfn.CONCAT("T",H$1,"V",$D375,"A",$A375),Vulnerabilities!$G:$G,1,FALSE),"")</x:f>
      </x:c>
      <x:c r="I375" s="20" t="str">
        <x:f>_xlfn.IFNA(VLOOKUP(_xlfn.CONCAT("T",I$1,"V",$D375,"A",$A375),Vulnerabilities!$G:$G,1,FALSE),"")</x:f>
      </x:c>
      <x:c r="J375" s="20" t="str">
        <x:f>_xlfn.IFNA(VLOOKUP(_xlfn.CONCAT("T",J$1,"V",$D375,"A",$A375),Vulnerabilities!$G:$G,1,FALSE),"")</x:f>
      </x:c>
      <x:c r="K375" s="20" t="str">
        <x:f>_xlfn.IFNA(VLOOKUP(_xlfn.CONCAT("T",K$1,"V",$D375,"A",$A375),Vulnerabilities!$G:$G,1,FALSE),"")</x:f>
      </x:c>
      <x:c r="L375" s="20" t="str">
        <x:f>_xlfn.IFNA(VLOOKUP(_xlfn.CONCAT("T",L$1,"V",$D375,"A",$A375),Vulnerabilities!$G:$G,1,FALSE),"")</x:f>
      </x:c>
      <x:c r="M375" s="20" t="str">
        <x:f>_xlfn.IFNA(VLOOKUP(_xlfn.CONCAT("T",M$1,"V",$D375,"A",$A375),Vulnerabilities!$G:$G,1,FALSE),"")</x:f>
      </x:c>
      <x:c r="N375" s="20" t="str">
        <x:f>_xlfn.IFNA(VLOOKUP(_xlfn.CONCAT("T",N$1,"V",$D375,"A",$A375),Vulnerabilities!$G:$G,1,FALSE),"")</x:f>
      </x:c>
      <x:c r="O375" s="20" t="str">
        <x:f>_xlfn.IFNA(VLOOKUP(_xlfn.CONCAT("T",O$1,"V",$D375,"A",$A375),Vulnerabilities!$G:$G,1,FALSE),"")</x:f>
      </x:c>
      <x:c r="P375" s="16" t="str">
        <x:f>_xlfn.IFNA(VLOOKUP(_xlfn.CONCAT("T",P$1,"V",$D375,"A",$A375),Vulnerabilities!$G:$G,1,FALSE),"")</x:f>
      </x:c>
    </x:row>
    <x:row r="376">
      <x:c r="A376" s="1">
        <x:f t="shared" si="6"/>
        <x:v>94</x:v>
      </x:c>
      <x:c r="B376" t="str">
        <x:f>IF(VLOOKUP($A376,Assets!$A:$C,2,FALSE)=0,"",VLOOKUP($A376,Assets!$A:$C,2,FALSE))</x:f>
      </x:c>
      <x:c r="C376" t="str">
        <x:f>IF(VLOOKUP($A376,Assets!$A:$C,3,FALSE)=0,"",VLOOKUP($A376,Assets!$A:$C,3,FALSE))</x:f>
      </x:c>
      <x:c r="D376" s="16">
        <x:v>2</x:v>
      </x:c>
      <x:c r="E376" s="20" t="str">
        <x:f>_xlfn.IFNA(VLOOKUP(_xlfn.CONCAT("T",E$1,"V",$D376,"A",$A376),Vulnerabilities!$G:$G,1,FALSE),"")</x:f>
      </x:c>
      <x:c r="F376" s="20" t="str">
        <x:f>_xlfn.IFNA(VLOOKUP(_xlfn.CONCAT("T",F$1,"V",$D376,"A",$A376),Vulnerabilities!$G:$G,1,FALSE),"")</x:f>
      </x:c>
      <x:c r="G376" s="20" t="str">
        <x:f>_xlfn.IFNA(VLOOKUP(_xlfn.CONCAT("T",G$1,"V",$D376,"A",$A376),Vulnerabilities!$G:$G,1,FALSE),"")</x:f>
      </x:c>
      <x:c r="H376" s="20" t="str">
        <x:f>_xlfn.IFNA(VLOOKUP(_xlfn.CONCAT("T",H$1,"V",$D376,"A",$A376),Vulnerabilities!$G:$G,1,FALSE),"")</x:f>
      </x:c>
      <x:c r="I376" s="20" t="str">
        <x:f>_xlfn.IFNA(VLOOKUP(_xlfn.CONCAT("T",I$1,"V",$D376,"A",$A376),Vulnerabilities!$G:$G,1,FALSE),"")</x:f>
      </x:c>
      <x:c r="J376" s="20" t="str">
        <x:f>_xlfn.IFNA(VLOOKUP(_xlfn.CONCAT("T",J$1,"V",$D376,"A",$A376),Vulnerabilities!$G:$G,1,FALSE),"")</x:f>
      </x:c>
      <x:c r="K376" s="20" t="str">
        <x:f>_xlfn.IFNA(VLOOKUP(_xlfn.CONCAT("T",K$1,"V",$D376,"A",$A376),Vulnerabilities!$G:$G,1,FALSE),"")</x:f>
      </x:c>
      <x:c r="L376" s="20" t="str">
        <x:f>_xlfn.IFNA(VLOOKUP(_xlfn.CONCAT("T",L$1,"V",$D376,"A",$A376),Vulnerabilities!$G:$G,1,FALSE),"")</x:f>
      </x:c>
      <x:c r="M376" s="20" t="str">
        <x:f>_xlfn.IFNA(VLOOKUP(_xlfn.CONCAT("T",M$1,"V",$D376,"A",$A376),Vulnerabilities!$G:$G,1,FALSE),"")</x:f>
      </x:c>
      <x:c r="N376" s="20" t="str">
        <x:f>_xlfn.IFNA(VLOOKUP(_xlfn.CONCAT("T",N$1,"V",$D376,"A",$A376),Vulnerabilities!$G:$G,1,FALSE),"")</x:f>
      </x:c>
      <x:c r="O376" s="20" t="str">
        <x:f>_xlfn.IFNA(VLOOKUP(_xlfn.CONCAT("T",O$1,"V",$D376,"A",$A376),Vulnerabilities!$G:$G,1,FALSE),"")</x:f>
      </x:c>
      <x:c r="P376" s="16" t="str">
        <x:f>_xlfn.IFNA(VLOOKUP(_xlfn.CONCAT("T",P$1,"V",$D376,"A",$A376),Vulnerabilities!$G:$G,1,FALSE),"")</x:f>
      </x:c>
    </x:row>
    <x:row r="377">
      <x:c r="A377" s="1">
        <x:f t="shared" si="6"/>
        <x:v>94</x:v>
      </x:c>
      <x:c r="B377" t="str">
        <x:f>IF(VLOOKUP($A377,Assets!$A:$C,2,FALSE)=0,"",VLOOKUP($A377,Assets!$A:$C,2,FALSE))</x:f>
      </x:c>
      <x:c r="C377" t="str">
        <x:f>IF(VLOOKUP($A377,Assets!$A:$C,3,FALSE)=0,"",VLOOKUP($A377,Assets!$A:$C,3,FALSE))</x:f>
      </x:c>
      <x:c r="D377" s="16">
        <x:v>3</x:v>
      </x:c>
      <x:c r="E377" s="20" t="str">
        <x:f>_xlfn.IFNA(VLOOKUP(_xlfn.CONCAT("T",E$1,"V",$D377,"A",$A377),Vulnerabilities!$G:$G,1,FALSE),"")</x:f>
      </x:c>
      <x:c r="F377" s="20" t="str">
        <x:f>_xlfn.IFNA(VLOOKUP(_xlfn.CONCAT("T",F$1,"V",$D377,"A",$A377),Vulnerabilities!$G:$G,1,FALSE),"")</x:f>
      </x:c>
      <x:c r="G377" s="20" t="str">
        <x:f>_xlfn.IFNA(VLOOKUP(_xlfn.CONCAT("T",G$1,"V",$D377,"A",$A377),Vulnerabilities!$G:$G,1,FALSE),"")</x:f>
      </x:c>
      <x:c r="H377" s="20" t="str">
        <x:f>_xlfn.IFNA(VLOOKUP(_xlfn.CONCAT("T",H$1,"V",$D377,"A",$A377),Vulnerabilities!$G:$G,1,FALSE),"")</x:f>
      </x:c>
      <x:c r="I377" s="20" t="str">
        <x:f>_xlfn.IFNA(VLOOKUP(_xlfn.CONCAT("T",I$1,"V",$D377,"A",$A377),Vulnerabilities!$G:$G,1,FALSE),"")</x:f>
      </x:c>
      <x:c r="J377" s="20" t="str">
        <x:f>_xlfn.IFNA(VLOOKUP(_xlfn.CONCAT("T",J$1,"V",$D377,"A",$A377),Vulnerabilities!$G:$G,1,FALSE),"")</x:f>
      </x:c>
      <x:c r="K377" s="20" t="str">
        <x:f>_xlfn.IFNA(VLOOKUP(_xlfn.CONCAT("T",K$1,"V",$D377,"A",$A377),Vulnerabilities!$G:$G,1,FALSE),"")</x:f>
      </x:c>
      <x:c r="L377" s="20" t="str">
        <x:f>_xlfn.IFNA(VLOOKUP(_xlfn.CONCAT("T",L$1,"V",$D377,"A",$A377),Vulnerabilities!$G:$G,1,FALSE),"")</x:f>
      </x:c>
      <x:c r="M377" s="20" t="str">
        <x:f>_xlfn.IFNA(VLOOKUP(_xlfn.CONCAT("T",M$1,"V",$D377,"A",$A377),Vulnerabilities!$G:$G,1,FALSE),"")</x:f>
      </x:c>
      <x:c r="N377" s="20" t="str">
        <x:f>_xlfn.IFNA(VLOOKUP(_xlfn.CONCAT("T",N$1,"V",$D377,"A",$A377),Vulnerabilities!$G:$G,1,FALSE),"")</x:f>
      </x:c>
      <x:c r="O377" s="20" t="str">
        <x:f>_xlfn.IFNA(VLOOKUP(_xlfn.CONCAT("T",O$1,"V",$D377,"A",$A377),Vulnerabilities!$G:$G,1,FALSE),"")</x:f>
      </x:c>
      <x:c r="P377" s="16" t="str">
        <x:f>_xlfn.IFNA(VLOOKUP(_xlfn.CONCAT("T",P$1,"V",$D377,"A",$A377),Vulnerabilities!$G:$G,1,FALSE),"")</x:f>
      </x:c>
    </x:row>
    <x:row r="378">
      <x:c r="A378" s="11">
        <x:f t="shared" si="6"/>
        <x:v>94</x:v>
      </x:c>
      <x:c r="B378" s="12" t="str">
        <x:f>IF(VLOOKUP($A378,Assets!$A:$C,2,FALSE)=0,"",VLOOKUP($A378,Assets!$A:$C,2,FALSE))</x:f>
      </x:c>
      <x:c r="C378" s="12" t="str">
        <x:f>IF(VLOOKUP($A378,Assets!$A:$C,3,FALSE)=0,"",VLOOKUP($A378,Assets!$A:$C,3,FALSE))</x:f>
      </x:c>
      <x:c r="D378" s="17">
        <x:v>4</x:v>
      </x:c>
      <x:c r="E378" s="21" t="str">
        <x:f>_xlfn.IFNA(VLOOKUP(_xlfn.CONCAT("T",E$1,"V",$D378,"A",$A378),Vulnerabilities!$G:$G,1,FALSE),"")</x:f>
      </x:c>
      <x:c r="F378" s="21" t="str">
        <x:f>_xlfn.IFNA(VLOOKUP(_xlfn.CONCAT("T",F$1,"V",$D378,"A",$A378),Vulnerabilities!$G:$G,1,FALSE),"")</x:f>
      </x:c>
      <x:c r="G378" s="21" t="str">
        <x:f>_xlfn.IFNA(VLOOKUP(_xlfn.CONCAT("T",G$1,"V",$D378,"A",$A378),Vulnerabilities!$G:$G,1,FALSE),"")</x:f>
      </x:c>
      <x:c r="H378" s="21" t="str">
        <x:f>_xlfn.IFNA(VLOOKUP(_xlfn.CONCAT("T",H$1,"V",$D378,"A",$A378),Vulnerabilities!$G:$G,1,FALSE),"")</x:f>
      </x:c>
      <x:c r="I378" s="21" t="str">
        <x:f>_xlfn.IFNA(VLOOKUP(_xlfn.CONCAT("T",I$1,"V",$D378,"A",$A378),Vulnerabilities!$G:$G,1,FALSE),"")</x:f>
      </x:c>
      <x:c r="J378" s="21" t="str">
        <x:f>_xlfn.IFNA(VLOOKUP(_xlfn.CONCAT("T",J$1,"V",$D378,"A",$A378),Vulnerabilities!$G:$G,1,FALSE),"")</x:f>
      </x:c>
      <x:c r="K378" s="21" t="str">
        <x:f>_xlfn.IFNA(VLOOKUP(_xlfn.CONCAT("T",K$1,"V",$D378,"A",$A378),Vulnerabilities!$G:$G,1,FALSE),"")</x:f>
      </x:c>
      <x:c r="L378" s="21" t="str">
        <x:f>_xlfn.IFNA(VLOOKUP(_xlfn.CONCAT("T",L$1,"V",$D378,"A",$A378),Vulnerabilities!$G:$G,1,FALSE),"")</x:f>
      </x:c>
      <x:c r="M378" s="21" t="str">
        <x:f>_xlfn.IFNA(VLOOKUP(_xlfn.CONCAT("T",M$1,"V",$D378,"A",$A378),Vulnerabilities!$G:$G,1,FALSE),"")</x:f>
      </x:c>
      <x:c r="N378" s="21" t="str">
        <x:f>_xlfn.IFNA(VLOOKUP(_xlfn.CONCAT("T",N$1,"V",$D378,"A",$A378),Vulnerabilities!$G:$G,1,FALSE),"")</x:f>
      </x:c>
      <x:c r="O378" s="21" t="str">
        <x:f>_xlfn.IFNA(VLOOKUP(_xlfn.CONCAT("T",O$1,"V",$D378,"A",$A378),Vulnerabilities!$G:$G,1,FALSE),"")</x:f>
      </x:c>
      <x:c r="P378" s="17" t="str">
        <x:f>_xlfn.IFNA(VLOOKUP(_xlfn.CONCAT("T",P$1,"V",$D378,"A",$A378),Vulnerabilities!$G:$G,1,FALSE),"")</x:f>
      </x:c>
    </x:row>
    <x:row r="379">
      <x:c r="A379" s="1">
        <x:f t="shared" si="6"/>
        <x:v>95</x:v>
      </x:c>
      <x:c r="B379" t="str">
        <x:f>IF(VLOOKUP($A379,Assets!$A:$C,2,FALSE)=0,"",VLOOKUP($A379,Assets!$A:$C,2,FALSE))</x:f>
      </x:c>
      <x:c r="C379" t="str">
        <x:f>IF(VLOOKUP($A379,Assets!$A:$C,3,FALSE)=0,"",VLOOKUP($A379,Assets!$A:$C,3,FALSE))</x:f>
      </x:c>
      <x:c r="D379" s="16">
        <x:v>1</x:v>
      </x:c>
      <x:c r="E379" s="20" t="str">
        <x:f>_xlfn.IFNA(VLOOKUP(_xlfn.CONCAT("T",E$1,"V",$D379,"A",$A379),Vulnerabilities!$G:$G,1,FALSE),"")</x:f>
      </x:c>
      <x:c r="F379" s="20" t="str">
        <x:f>_xlfn.IFNA(VLOOKUP(_xlfn.CONCAT("T",F$1,"V",$D379,"A",$A379),Vulnerabilities!$G:$G,1,FALSE),"")</x:f>
      </x:c>
      <x:c r="G379" s="20" t="str">
        <x:f>_xlfn.IFNA(VLOOKUP(_xlfn.CONCAT("T",G$1,"V",$D379,"A",$A379),Vulnerabilities!$G:$G,1,FALSE),"")</x:f>
      </x:c>
      <x:c r="H379" s="20" t="str">
        <x:f>_xlfn.IFNA(VLOOKUP(_xlfn.CONCAT("T",H$1,"V",$D379,"A",$A379),Vulnerabilities!$G:$G,1,FALSE),"")</x:f>
      </x:c>
      <x:c r="I379" s="20" t="str">
        <x:f>_xlfn.IFNA(VLOOKUP(_xlfn.CONCAT("T",I$1,"V",$D379,"A",$A379),Vulnerabilities!$G:$G,1,FALSE),"")</x:f>
      </x:c>
      <x:c r="J379" s="20" t="str">
        <x:f>_xlfn.IFNA(VLOOKUP(_xlfn.CONCAT("T",J$1,"V",$D379,"A",$A379),Vulnerabilities!$G:$G,1,FALSE),"")</x:f>
      </x:c>
      <x:c r="K379" s="20" t="str">
        <x:f>_xlfn.IFNA(VLOOKUP(_xlfn.CONCAT("T",K$1,"V",$D379,"A",$A379),Vulnerabilities!$G:$G,1,FALSE),"")</x:f>
      </x:c>
      <x:c r="L379" s="20" t="str">
        <x:f>_xlfn.IFNA(VLOOKUP(_xlfn.CONCAT("T",L$1,"V",$D379,"A",$A379),Vulnerabilities!$G:$G,1,FALSE),"")</x:f>
      </x:c>
      <x:c r="M379" s="20" t="str">
        <x:f>_xlfn.IFNA(VLOOKUP(_xlfn.CONCAT("T",M$1,"V",$D379,"A",$A379),Vulnerabilities!$G:$G,1,FALSE),"")</x:f>
      </x:c>
      <x:c r="N379" s="20" t="str">
        <x:f>_xlfn.IFNA(VLOOKUP(_xlfn.CONCAT("T",N$1,"V",$D379,"A",$A379),Vulnerabilities!$G:$G,1,FALSE),"")</x:f>
      </x:c>
      <x:c r="O379" s="20" t="str">
        <x:f>_xlfn.IFNA(VLOOKUP(_xlfn.CONCAT("T",O$1,"V",$D379,"A",$A379),Vulnerabilities!$G:$G,1,FALSE),"")</x:f>
      </x:c>
      <x:c r="P379" s="16" t="str">
        <x:f>_xlfn.IFNA(VLOOKUP(_xlfn.CONCAT("T",P$1,"V",$D379,"A",$A379),Vulnerabilities!$G:$G,1,FALSE),"")</x:f>
      </x:c>
    </x:row>
    <x:row r="380">
      <x:c r="A380" s="1">
        <x:f t="shared" si="6"/>
        <x:v>95</x:v>
      </x:c>
      <x:c r="B380" t="str">
        <x:f>IF(VLOOKUP($A380,Assets!$A:$C,2,FALSE)=0,"",VLOOKUP($A380,Assets!$A:$C,2,FALSE))</x:f>
      </x:c>
      <x:c r="C380" t="str">
        <x:f>IF(VLOOKUP($A380,Assets!$A:$C,3,FALSE)=0,"",VLOOKUP($A380,Assets!$A:$C,3,FALSE))</x:f>
      </x:c>
      <x:c r="D380" s="16">
        <x:v>2</x:v>
      </x:c>
      <x:c r="E380" s="20" t="str">
        <x:f>_xlfn.IFNA(VLOOKUP(_xlfn.CONCAT("T",E$1,"V",$D380,"A",$A380),Vulnerabilities!$G:$G,1,FALSE),"")</x:f>
      </x:c>
      <x:c r="F380" s="20" t="str">
        <x:f>_xlfn.IFNA(VLOOKUP(_xlfn.CONCAT("T",F$1,"V",$D380,"A",$A380),Vulnerabilities!$G:$G,1,FALSE),"")</x:f>
      </x:c>
      <x:c r="G380" s="20" t="str">
        <x:f>_xlfn.IFNA(VLOOKUP(_xlfn.CONCAT("T",G$1,"V",$D380,"A",$A380),Vulnerabilities!$G:$G,1,FALSE),"")</x:f>
      </x:c>
      <x:c r="H380" s="20" t="str">
        <x:f>_xlfn.IFNA(VLOOKUP(_xlfn.CONCAT("T",H$1,"V",$D380,"A",$A380),Vulnerabilities!$G:$G,1,FALSE),"")</x:f>
      </x:c>
      <x:c r="I380" s="20" t="str">
        <x:f>_xlfn.IFNA(VLOOKUP(_xlfn.CONCAT("T",I$1,"V",$D380,"A",$A380),Vulnerabilities!$G:$G,1,FALSE),"")</x:f>
      </x:c>
      <x:c r="J380" s="20" t="str">
        <x:f>_xlfn.IFNA(VLOOKUP(_xlfn.CONCAT("T",J$1,"V",$D380,"A",$A380),Vulnerabilities!$G:$G,1,FALSE),"")</x:f>
      </x:c>
      <x:c r="K380" s="20" t="str">
        <x:f>_xlfn.IFNA(VLOOKUP(_xlfn.CONCAT("T",K$1,"V",$D380,"A",$A380),Vulnerabilities!$G:$G,1,FALSE),"")</x:f>
      </x:c>
      <x:c r="L380" s="20" t="str">
        <x:f>_xlfn.IFNA(VLOOKUP(_xlfn.CONCAT("T",L$1,"V",$D380,"A",$A380),Vulnerabilities!$G:$G,1,FALSE),"")</x:f>
      </x:c>
      <x:c r="M380" s="20" t="str">
        <x:f>_xlfn.IFNA(VLOOKUP(_xlfn.CONCAT("T",M$1,"V",$D380,"A",$A380),Vulnerabilities!$G:$G,1,FALSE),"")</x:f>
      </x:c>
      <x:c r="N380" s="20" t="str">
        <x:f>_xlfn.IFNA(VLOOKUP(_xlfn.CONCAT("T",N$1,"V",$D380,"A",$A380),Vulnerabilities!$G:$G,1,FALSE),"")</x:f>
      </x:c>
      <x:c r="O380" s="20" t="str">
        <x:f>_xlfn.IFNA(VLOOKUP(_xlfn.CONCAT("T",O$1,"V",$D380,"A",$A380),Vulnerabilities!$G:$G,1,FALSE),"")</x:f>
      </x:c>
      <x:c r="P380" s="16" t="str">
        <x:f>_xlfn.IFNA(VLOOKUP(_xlfn.CONCAT("T",P$1,"V",$D380,"A",$A380),Vulnerabilities!$G:$G,1,FALSE),"")</x:f>
      </x:c>
    </x:row>
    <x:row r="381">
      <x:c r="A381" s="1">
        <x:f t="shared" si="6"/>
        <x:v>95</x:v>
      </x:c>
      <x:c r="B381" t="str">
        <x:f>IF(VLOOKUP($A381,Assets!$A:$C,2,FALSE)=0,"",VLOOKUP($A381,Assets!$A:$C,2,FALSE))</x:f>
      </x:c>
      <x:c r="C381" t="str">
        <x:f>IF(VLOOKUP($A381,Assets!$A:$C,3,FALSE)=0,"",VLOOKUP($A381,Assets!$A:$C,3,FALSE))</x:f>
      </x:c>
      <x:c r="D381" s="16">
        <x:v>3</x:v>
      </x:c>
      <x:c r="E381" s="20" t="str">
        <x:f>_xlfn.IFNA(VLOOKUP(_xlfn.CONCAT("T",E$1,"V",$D381,"A",$A381),Vulnerabilities!$G:$G,1,FALSE),"")</x:f>
      </x:c>
      <x:c r="F381" s="20" t="str">
        <x:f>_xlfn.IFNA(VLOOKUP(_xlfn.CONCAT("T",F$1,"V",$D381,"A",$A381),Vulnerabilities!$G:$G,1,FALSE),"")</x:f>
      </x:c>
      <x:c r="G381" s="20" t="str">
        <x:f>_xlfn.IFNA(VLOOKUP(_xlfn.CONCAT("T",G$1,"V",$D381,"A",$A381),Vulnerabilities!$G:$G,1,FALSE),"")</x:f>
      </x:c>
      <x:c r="H381" s="20" t="str">
        <x:f>_xlfn.IFNA(VLOOKUP(_xlfn.CONCAT("T",H$1,"V",$D381,"A",$A381),Vulnerabilities!$G:$G,1,FALSE),"")</x:f>
      </x:c>
      <x:c r="I381" s="20" t="str">
        <x:f>_xlfn.IFNA(VLOOKUP(_xlfn.CONCAT("T",I$1,"V",$D381,"A",$A381),Vulnerabilities!$G:$G,1,FALSE),"")</x:f>
      </x:c>
      <x:c r="J381" s="20" t="str">
        <x:f>_xlfn.IFNA(VLOOKUP(_xlfn.CONCAT("T",J$1,"V",$D381,"A",$A381),Vulnerabilities!$G:$G,1,FALSE),"")</x:f>
      </x:c>
      <x:c r="K381" s="20" t="str">
        <x:f>_xlfn.IFNA(VLOOKUP(_xlfn.CONCAT("T",K$1,"V",$D381,"A",$A381),Vulnerabilities!$G:$G,1,FALSE),"")</x:f>
      </x:c>
      <x:c r="L381" s="20" t="str">
        <x:f>_xlfn.IFNA(VLOOKUP(_xlfn.CONCAT("T",L$1,"V",$D381,"A",$A381),Vulnerabilities!$G:$G,1,FALSE),"")</x:f>
      </x:c>
      <x:c r="M381" s="20" t="str">
        <x:f>_xlfn.IFNA(VLOOKUP(_xlfn.CONCAT("T",M$1,"V",$D381,"A",$A381),Vulnerabilities!$G:$G,1,FALSE),"")</x:f>
      </x:c>
      <x:c r="N381" s="20" t="str">
        <x:f>_xlfn.IFNA(VLOOKUP(_xlfn.CONCAT("T",N$1,"V",$D381,"A",$A381),Vulnerabilities!$G:$G,1,FALSE),"")</x:f>
      </x:c>
      <x:c r="O381" s="20" t="str">
        <x:f>_xlfn.IFNA(VLOOKUP(_xlfn.CONCAT("T",O$1,"V",$D381,"A",$A381),Vulnerabilities!$G:$G,1,FALSE),"")</x:f>
      </x:c>
      <x:c r="P381" s="16" t="str">
        <x:f>_xlfn.IFNA(VLOOKUP(_xlfn.CONCAT("T",P$1,"V",$D381,"A",$A381),Vulnerabilities!$G:$G,1,FALSE),"")</x:f>
      </x:c>
    </x:row>
    <x:row r="382">
      <x:c r="A382" s="11">
        <x:f t="shared" si="6"/>
        <x:v>95</x:v>
      </x:c>
      <x:c r="B382" s="12" t="str">
        <x:f>IF(VLOOKUP($A382,Assets!$A:$C,2,FALSE)=0,"",VLOOKUP($A382,Assets!$A:$C,2,FALSE))</x:f>
      </x:c>
      <x:c r="C382" s="12" t="str">
        <x:f>IF(VLOOKUP($A382,Assets!$A:$C,3,FALSE)=0,"",VLOOKUP($A382,Assets!$A:$C,3,FALSE))</x:f>
      </x:c>
      <x:c r="D382" s="17">
        <x:v>4</x:v>
      </x:c>
      <x:c r="E382" s="21" t="str">
        <x:f>_xlfn.IFNA(VLOOKUP(_xlfn.CONCAT("T",E$1,"V",$D382,"A",$A382),Vulnerabilities!$G:$G,1,FALSE),"")</x:f>
      </x:c>
      <x:c r="F382" s="21" t="str">
        <x:f>_xlfn.IFNA(VLOOKUP(_xlfn.CONCAT("T",F$1,"V",$D382,"A",$A382),Vulnerabilities!$G:$G,1,FALSE),"")</x:f>
      </x:c>
      <x:c r="G382" s="21" t="str">
        <x:f>_xlfn.IFNA(VLOOKUP(_xlfn.CONCAT("T",G$1,"V",$D382,"A",$A382),Vulnerabilities!$G:$G,1,FALSE),"")</x:f>
      </x:c>
      <x:c r="H382" s="21" t="str">
        <x:f>_xlfn.IFNA(VLOOKUP(_xlfn.CONCAT("T",H$1,"V",$D382,"A",$A382),Vulnerabilities!$G:$G,1,FALSE),"")</x:f>
      </x:c>
      <x:c r="I382" s="21" t="str">
        <x:f>_xlfn.IFNA(VLOOKUP(_xlfn.CONCAT("T",I$1,"V",$D382,"A",$A382),Vulnerabilities!$G:$G,1,FALSE),"")</x:f>
      </x:c>
      <x:c r="J382" s="21" t="str">
        <x:f>_xlfn.IFNA(VLOOKUP(_xlfn.CONCAT("T",J$1,"V",$D382,"A",$A382),Vulnerabilities!$G:$G,1,FALSE),"")</x:f>
      </x:c>
      <x:c r="K382" s="21" t="str">
        <x:f>_xlfn.IFNA(VLOOKUP(_xlfn.CONCAT("T",K$1,"V",$D382,"A",$A382),Vulnerabilities!$G:$G,1,FALSE),"")</x:f>
      </x:c>
      <x:c r="L382" s="21" t="str">
        <x:f>_xlfn.IFNA(VLOOKUP(_xlfn.CONCAT("T",L$1,"V",$D382,"A",$A382),Vulnerabilities!$G:$G,1,FALSE),"")</x:f>
      </x:c>
      <x:c r="M382" s="21" t="str">
        <x:f>_xlfn.IFNA(VLOOKUP(_xlfn.CONCAT("T",M$1,"V",$D382,"A",$A382),Vulnerabilities!$G:$G,1,FALSE),"")</x:f>
      </x:c>
      <x:c r="N382" s="21" t="str">
        <x:f>_xlfn.IFNA(VLOOKUP(_xlfn.CONCAT("T",N$1,"V",$D382,"A",$A382),Vulnerabilities!$G:$G,1,FALSE),"")</x:f>
      </x:c>
      <x:c r="O382" s="21" t="str">
        <x:f>_xlfn.IFNA(VLOOKUP(_xlfn.CONCAT("T",O$1,"V",$D382,"A",$A382),Vulnerabilities!$G:$G,1,FALSE),"")</x:f>
      </x:c>
      <x:c r="P382" s="17" t="str">
        <x:f>_xlfn.IFNA(VLOOKUP(_xlfn.CONCAT("T",P$1,"V",$D382,"A",$A382),Vulnerabilities!$G:$G,1,FALSE),"")</x:f>
      </x:c>
    </x:row>
    <x:row r="383">
      <x:c r="A383" s="1">
        <x:f t="shared" si="6"/>
        <x:v>96</x:v>
      </x:c>
      <x:c r="B383" t="str">
        <x:f>IF(VLOOKUP($A383,Assets!$A:$C,2,FALSE)=0,"",VLOOKUP($A383,Assets!$A:$C,2,FALSE))</x:f>
      </x:c>
      <x:c r="C383" t="str">
        <x:f>IF(VLOOKUP($A383,Assets!$A:$C,3,FALSE)=0,"",VLOOKUP($A383,Assets!$A:$C,3,FALSE))</x:f>
      </x:c>
      <x:c r="D383" s="16">
        <x:v>1</x:v>
      </x:c>
      <x:c r="E383" s="20" t="str">
        <x:f>_xlfn.IFNA(VLOOKUP(_xlfn.CONCAT("T",E$1,"V",$D383,"A",$A383),Vulnerabilities!$G:$G,1,FALSE),"")</x:f>
      </x:c>
      <x:c r="F383" s="20" t="str">
        <x:f>_xlfn.IFNA(VLOOKUP(_xlfn.CONCAT("T",F$1,"V",$D383,"A",$A383),Vulnerabilities!$G:$G,1,FALSE),"")</x:f>
      </x:c>
      <x:c r="G383" s="20" t="str">
        <x:f>_xlfn.IFNA(VLOOKUP(_xlfn.CONCAT("T",G$1,"V",$D383,"A",$A383),Vulnerabilities!$G:$G,1,FALSE),"")</x:f>
      </x:c>
      <x:c r="H383" s="20" t="str">
        <x:f>_xlfn.IFNA(VLOOKUP(_xlfn.CONCAT("T",H$1,"V",$D383,"A",$A383),Vulnerabilities!$G:$G,1,FALSE),"")</x:f>
      </x:c>
      <x:c r="I383" s="20" t="str">
        <x:f>_xlfn.IFNA(VLOOKUP(_xlfn.CONCAT("T",I$1,"V",$D383,"A",$A383),Vulnerabilities!$G:$G,1,FALSE),"")</x:f>
      </x:c>
      <x:c r="J383" s="20" t="str">
        <x:f>_xlfn.IFNA(VLOOKUP(_xlfn.CONCAT("T",J$1,"V",$D383,"A",$A383),Vulnerabilities!$G:$G,1,FALSE),"")</x:f>
      </x:c>
      <x:c r="K383" s="20" t="str">
        <x:f>_xlfn.IFNA(VLOOKUP(_xlfn.CONCAT("T",K$1,"V",$D383,"A",$A383),Vulnerabilities!$G:$G,1,FALSE),"")</x:f>
      </x:c>
      <x:c r="L383" s="20" t="str">
        <x:f>_xlfn.IFNA(VLOOKUP(_xlfn.CONCAT("T",L$1,"V",$D383,"A",$A383),Vulnerabilities!$G:$G,1,FALSE),"")</x:f>
      </x:c>
      <x:c r="M383" s="20" t="str">
        <x:f>_xlfn.IFNA(VLOOKUP(_xlfn.CONCAT("T",M$1,"V",$D383,"A",$A383),Vulnerabilities!$G:$G,1,FALSE),"")</x:f>
      </x:c>
      <x:c r="N383" s="20" t="str">
        <x:f>_xlfn.IFNA(VLOOKUP(_xlfn.CONCAT("T",N$1,"V",$D383,"A",$A383),Vulnerabilities!$G:$G,1,FALSE),"")</x:f>
      </x:c>
      <x:c r="O383" s="20" t="str">
        <x:f>_xlfn.IFNA(VLOOKUP(_xlfn.CONCAT("T",O$1,"V",$D383,"A",$A383),Vulnerabilities!$G:$G,1,FALSE),"")</x:f>
      </x:c>
      <x:c r="P383" s="16" t="str">
        <x:f>_xlfn.IFNA(VLOOKUP(_xlfn.CONCAT("T",P$1,"V",$D383,"A",$A383),Vulnerabilities!$G:$G,1,FALSE),"")</x:f>
      </x:c>
    </x:row>
    <x:row r="384">
      <x:c r="A384" s="1">
        <x:f t="shared" si="6"/>
        <x:v>96</x:v>
      </x:c>
      <x:c r="B384" t="str">
        <x:f>IF(VLOOKUP($A384,Assets!$A:$C,2,FALSE)=0,"",VLOOKUP($A384,Assets!$A:$C,2,FALSE))</x:f>
      </x:c>
      <x:c r="C384" t="str">
        <x:f>IF(VLOOKUP($A384,Assets!$A:$C,3,FALSE)=0,"",VLOOKUP($A384,Assets!$A:$C,3,FALSE))</x:f>
      </x:c>
      <x:c r="D384" s="16">
        <x:v>2</x:v>
      </x:c>
      <x:c r="E384" s="20" t="str">
        <x:f>_xlfn.IFNA(VLOOKUP(_xlfn.CONCAT("T",E$1,"V",$D384,"A",$A384),Vulnerabilities!$G:$G,1,FALSE),"")</x:f>
      </x:c>
      <x:c r="F384" s="20" t="str">
        <x:f>_xlfn.IFNA(VLOOKUP(_xlfn.CONCAT("T",F$1,"V",$D384,"A",$A384),Vulnerabilities!$G:$G,1,FALSE),"")</x:f>
      </x:c>
      <x:c r="G384" s="20" t="str">
        <x:f>_xlfn.IFNA(VLOOKUP(_xlfn.CONCAT("T",G$1,"V",$D384,"A",$A384),Vulnerabilities!$G:$G,1,FALSE),"")</x:f>
      </x:c>
      <x:c r="H384" s="20" t="str">
        <x:f>_xlfn.IFNA(VLOOKUP(_xlfn.CONCAT("T",H$1,"V",$D384,"A",$A384),Vulnerabilities!$G:$G,1,FALSE),"")</x:f>
      </x:c>
      <x:c r="I384" s="20" t="str">
        <x:f>_xlfn.IFNA(VLOOKUP(_xlfn.CONCAT("T",I$1,"V",$D384,"A",$A384),Vulnerabilities!$G:$G,1,FALSE),"")</x:f>
      </x:c>
      <x:c r="J384" s="20" t="str">
        <x:f>_xlfn.IFNA(VLOOKUP(_xlfn.CONCAT("T",J$1,"V",$D384,"A",$A384),Vulnerabilities!$G:$G,1,FALSE),"")</x:f>
      </x:c>
      <x:c r="K384" s="20" t="str">
        <x:f>_xlfn.IFNA(VLOOKUP(_xlfn.CONCAT("T",K$1,"V",$D384,"A",$A384),Vulnerabilities!$G:$G,1,FALSE),"")</x:f>
      </x:c>
      <x:c r="L384" s="20" t="str">
        <x:f>_xlfn.IFNA(VLOOKUP(_xlfn.CONCAT("T",L$1,"V",$D384,"A",$A384),Vulnerabilities!$G:$G,1,FALSE),"")</x:f>
      </x:c>
      <x:c r="M384" s="20" t="str">
        <x:f>_xlfn.IFNA(VLOOKUP(_xlfn.CONCAT("T",M$1,"V",$D384,"A",$A384),Vulnerabilities!$G:$G,1,FALSE),"")</x:f>
      </x:c>
      <x:c r="N384" s="20" t="str">
        <x:f>_xlfn.IFNA(VLOOKUP(_xlfn.CONCAT("T",N$1,"V",$D384,"A",$A384),Vulnerabilities!$G:$G,1,FALSE),"")</x:f>
      </x:c>
      <x:c r="O384" s="20" t="str">
        <x:f>_xlfn.IFNA(VLOOKUP(_xlfn.CONCAT("T",O$1,"V",$D384,"A",$A384),Vulnerabilities!$G:$G,1,FALSE),"")</x:f>
      </x:c>
      <x:c r="P384" s="16" t="str">
        <x:f>_xlfn.IFNA(VLOOKUP(_xlfn.CONCAT("T",P$1,"V",$D384,"A",$A384),Vulnerabilities!$G:$G,1,FALSE),"")</x:f>
      </x:c>
    </x:row>
    <x:row r="385">
      <x:c r="A385" s="1">
        <x:f t="shared" si="6"/>
        <x:v>96</x:v>
      </x:c>
      <x:c r="B385" t="str">
        <x:f>IF(VLOOKUP($A385,Assets!$A:$C,2,FALSE)=0,"",VLOOKUP($A385,Assets!$A:$C,2,FALSE))</x:f>
      </x:c>
      <x:c r="C385" t="str">
        <x:f>IF(VLOOKUP($A385,Assets!$A:$C,3,FALSE)=0,"",VLOOKUP($A385,Assets!$A:$C,3,FALSE))</x:f>
      </x:c>
      <x:c r="D385" s="16">
        <x:v>3</x:v>
      </x:c>
      <x:c r="E385" s="20" t="str">
        <x:f>_xlfn.IFNA(VLOOKUP(_xlfn.CONCAT("T",E$1,"V",$D385,"A",$A385),Vulnerabilities!$G:$G,1,FALSE),"")</x:f>
      </x:c>
      <x:c r="F385" s="20" t="str">
        <x:f>_xlfn.IFNA(VLOOKUP(_xlfn.CONCAT("T",F$1,"V",$D385,"A",$A385),Vulnerabilities!$G:$G,1,FALSE),"")</x:f>
      </x:c>
      <x:c r="G385" s="20" t="str">
        <x:f>_xlfn.IFNA(VLOOKUP(_xlfn.CONCAT("T",G$1,"V",$D385,"A",$A385),Vulnerabilities!$G:$G,1,FALSE),"")</x:f>
      </x:c>
      <x:c r="H385" s="20" t="str">
        <x:f>_xlfn.IFNA(VLOOKUP(_xlfn.CONCAT("T",H$1,"V",$D385,"A",$A385),Vulnerabilities!$G:$G,1,FALSE),"")</x:f>
      </x:c>
      <x:c r="I385" s="20" t="str">
        <x:f>_xlfn.IFNA(VLOOKUP(_xlfn.CONCAT("T",I$1,"V",$D385,"A",$A385),Vulnerabilities!$G:$G,1,FALSE),"")</x:f>
      </x:c>
      <x:c r="J385" s="20" t="str">
        <x:f>_xlfn.IFNA(VLOOKUP(_xlfn.CONCAT("T",J$1,"V",$D385,"A",$A385),Vulnerabilities!$G:$G,1,FALSE),"")</x:f>
      </x:c>
      <x:c r="K385" s="20" t="str">
        <x:f>_xlfn.IFNA(VLOOKUP(_xlfn.CONCAT("T",K$1,"V",$D385,"A",$A385),Vulnerabilities!$G:$G,1,FALSE),"")</x:f>
      </x:c>
      <x:c r="L385" s="20" t="str">
        <x:f>_xlfn.IFNA(VLOOKUP(_xlfn.CONCAT("T",L$1,"V",$D385,"A",$A385),Vulnerabilities!$G:$G,1,FALSE),"")</x:f>
      </x:c>
      <x:c r="M385" s="20" t="str">
        <x:f>_xlfn.IFNA(VLOOKUP(_xlfn.CONCAT("T",M$1,"V",$D385,"A",$A385),Vulnerabilities!$G:$G,1,FALSE),"")</x:f>
      </x:c>
      <x:c r="N385" s="20" t="str">
        <x:f>_xlfn.IFNA(VLOOKUP(_xlfn.CONCAT("T",N$1,"V",$D385,"A",$A385),Vulnerabilities!$G:$G,1,FALSE),"")</x:f>
      </x:c>
      <x:c r="O385" s="20" t="str">
        <x:f>_xlfn.IFNA(VLOOKUP(_xlfn.CONCAT("T",O$1,"V",$D385,"A",$A385),Vulnerabilities!$G:$G,1,FALSE),"")</x:f>
      </x:c>
      <x:c r="P385" s="16" t="str">
        <x:f>_xlfn.IFNA(VLOOKUP(_xlfn.CONCAT("T",P$1,"V",$D385,"A",$A385),Vulnerabilities!$G:$G,1,FALSE),"")</x:f>
      </x:c>
    </x:row>
    <x:row r="386">
      <x:c r="A386" s="11">
        <x:f t="shared" si="6"/>
        <x:v>96</x:v>
      </x:c>
      <x:c r="B386" s="12" t="str">
        <x:f>IF(VLOOKUP($A386,Assets!$A:$C,2,FALSE)=0,"",VLOOKUP($A386,Assets!$A:$C,2,FALSE))</x:f>
      </x:c>
      <x:c r="C386" s="12" t="str">
        <x:f>IF(VLOOKUP($A386,Assets!$A:$C,3,FALSE)=0,"",VLOOKUP($A386,Assets!$A:$C,3,FALSE))</x:f>
      </x:c>
      <x:c r="D386" s="17">
        <x:v>4</x:v>
      </x:c>
      <x:c r="E386" s="21" t="str">
        <x:f>_xlfn.IFNA(VLOOKUP(_xlfn.CONCAT("T",E$1,"V",$D386,"A",$A386),Vulnerabilities!$G:$G,1,FALSE),"")</x:f>
      </x:c>
      <x:c r="F386" s="21" t="str">
        <x:f>_xlfn.IFNA(VLOOKUP(_xlfn.CONCAT("T",F$1,"V",$D386,"A",$A386),Vulnerabilities!$G:$G,1,FALSE),"")</x:f>
      </x:c>
      <x:c r="G386" s="21" t="str">
        <x:f>_xlfn.IFNA(VLOOKUP(_xlfn.CONCAT("T",G$1,"V",$D386,"A",$A386),Vulnerabilities!$G:$G,1,FALSE),"")</x:f>
      </x:c>
      <x:c r="H386" s="21" t="str">
        <x:f>_xlfn.IFNA(VLOOKUP(_xlfn.CONCAT("T",H$1,"V",$D386,"A",$A386),Vulnerabilities!$G:$G,1,FALSE),"")</x:f>
      </x:c>
      <x:c r="I386" s="21" t="str">
        <x:f>_xlfn.IFNA(VLOOKUP(_xlfn.CONCAT("T",I$1,"V",$D386,"A",$A386),Vulnerabilities!$G:$G,1,FALSE),"")</x:f>
      </x:c>
      <x:c r="J386" s="21" t="str">
        <x:f>_xlfn.IFNA(VLOOKUP(_xlfn.CONCAT("T",J$1,"V",$D386,"A",$A386),Vulnerabilities!$G:$G,1,FALSE),"")</x:f>
      </x:c>
      <x:c r="K386" s="21" t="str">
        <x:f>_xlfn.IFNA(VLOOKUP(_xlfn.CONCAT("T",K$1,"V",$D386,"A",$A386),Vulnerabilities!$G:$G,1,FALSE),"")</x:f>
      </x:c>
      <x:c r="L386" s="21" t="str">
        <x:f>_xlfn.IFNA(VLOOKUP(_xlfn.CONCAT("T",L$1,"V",$D386,"A",$A386),Vulnerabilities!$G:$G,1,FALSE),"")</x:f>
      </x:c>
      <x:c r="M386" s="21" t="str">
        <x:f>_xlfn.IFNA(VLOOKUP(_xlfn.CONCAT("T",M$1,"V",$D386,"A",$A386),Vulnerabilities!$G:$G,1,FALSE),"")</x:f>
      </x:c>
      <x:c r="N386" s="21" t="str">
        <x:f>_xlfn.IFNA(VLOOKUP(_xlfn.CONCAT("T",N$1,"V",$D386,"A",$A386),Vulnerabilities!$G:$G,1,FALSE),"")</x:f>
      </x:c>
      <x:c r="O386" s="21" t="str">
        <x:f>_xlfn.IFNA(VLOOKUP(_xlfn.CONCAT("T",O$1,"V",$D386,"A",$A386),Vulnerabilities!$G:$G,1,FALSE),"")</x:f>
      </x:c>
      <x:c r="P386" s="17" t="str">
        <x:f>_xlfn.IFNA(VLOOKUP(_xlfn.CONCAT("T",P$1,"V",$D386,"A",$A386),Vulnerabilities!$G:$G,1,FALSE),"")</x:f>
      </x:c>
    </x:row>
    <x:row r="387">
      <x:c r="A387" s="1">
        <x:f t="shared" si="6"/>
        <x:v>97</x:v>
      </x:c>
      <x:c r="B387" t="str">
        <x:f>IF(VLOOKUP($A387,Assets!$A:$C,2,FALSE)=0,"",VLOOKUP($A387,Assets!$A:$C,2,FALSE))</x:f>
      </x:c>
      <x:c r="C387" t="str">
        <x:f>IF(VLOOKUP($A387,Assets!$A:$C,3,FALSE)=0,"",VLOOKUP($A387,Assets!$A:$C,3,FALSE))</x:f>
      </x:c>
      <x:c r="D387" s="16">
        <x:v>1</x:v>
      </x:c>
      <x:c r="E387" s="20" t="str">
        <x:f>_xlfn.IFNA(VLOOKUP(_xlfn.CONCAT("T",E$1,"V",$D387,"A",$A387),Vulnerabilities!$G:$G,1,FALSE),"")</x:f>
      </x:c>
      <x:c r="F387" s="20" t="str">
        <x:f>_xlfn.IFNA(VLOOKUP(_xlfn.CONCAT("T",F$1,"V",$D387,"A",$A387),Vulnerabilities!$G:$G,1,FALSE),"")</x:f>
      </x:c>
      <x:c r="G387" s="20" t="str">
        <x:f>_xlfn.IFNA(VLOOKUP(_xlfn.CONCAT("T",G$1,"V",$D387,"A",$A387),Vulnerabilities!$G:$G,1,FALSE),"")</x:f>
      </x:c>
      <x:c r="H387" s="20" t="str">
        <x:f>_xlfn.IFNA(VLOOKUP(_xlfn.CONCAT("T",H$1,"V",$D387,"A",$A387),Vulnerabilities!$G:$G,1,FALSE),"")</x:f>
      </x:c>
      <x:c r="I387" s="20" t="str">
        <x:f>_xlfn.IFNA(VLOOKUP(_xlfn.CONCAT("T",I$1,"V",$D387,"A",$A387),Vulnerabilities!$G:$G,1,FALSE),"")</x:f>
      </x:c>
      <x:c r="J387" s="20" t="str">
        <x:f>_xlfn.IFNA(VLOOKUP(_xlfn.CONCAT("T",J$1,"V",$D387,"A",$A387),Vulnerabilities!$G:$G,1,FALSE),"")</x:f>
      </x:c>
      <x:c r="K387" s="20" t="str">
        <x:f>_xlfn.IFNA(VLOOKUP(_xlfn.CONCAT("T",K$1,"V",$D387,"A",$A387),Vulnerabilities!$G:$G,1,FALSE),"")</x:f>
      </x:c>
      <x:c r="L387" s="20" t="str">
        <x:f>_xlfn.IFNA(VLOOKUP(_xlfn.CONCAT("T",L$1,"V",$D387,"A",$A387),Vulnerabilities!$G:$G,1,FALSE),"")</x:f>
      </x:c>
      <x:c r="M387" s="20" t="str">
        <x:f>_xlfn.IFNA(VLOOKUP(_xlfn.CONCAT("T",M$1,"V",$D387,"A",$A387),Vulnerabilities!$G:$G,1,FALSE),"")</x:f>
      </x:c>
      <x:c r="N387" s="20" t="str">
        <x:f>_xlfn.IFNA(VLOOKUP(_xlfn.CONCAT("T",N$1,"V",$D387,"A",$A387),Vulnerabilities!$G:$G,1,FALSE),"")</x:f>
      </x:c>
      <x:c r="O387" s="20" t="str">
        <x:f>_xlfn.IFNA(VLOOKUP(_xlfn.CONCAT("T",O$1,"V",$D387,"A",$A387),Vulnerabilities!$G:$G,1,FALSE),"")</x:f>
      </x:c>
      <x:c r="P387" s="16" t="str">
        <x:f>_xlfn.IFNA(VLOOKUP(_xlfn.CONCAT("T",P$1,"V",$D387,"A",$A387),Vulnerabilities!$G:$G,1,FALSE),"")</x:f>
      </x:c>
    </x:row>
    <x:row r="388">
      <x:c r="A388" s="1">
        <x:f t="shared" si="6"/>
        <x:v>97</x:v>
      </x:c>
      <x:c r="B388" t="str">
        <x:f>IF(VLOOKUP($A388,Assets!$A:$C,2,FALSE)=0,"",VLOOKUP($A388,Assets!$A:$C,2,FALSE))</x:f>
      </x:c>
      <x:c r="C388" t="str">
        <x:f>IF(VLOOKUP($A388,Assets!$A:$C,3,FALSE)=0,"",VLOOKUP($A388,Assets!$A:$C,3,FALSE))</x:f>
      </x:c>
      <x:c r="D388" s="16">
        <x:v>2</x:v>
      </x:c>
      <x:c r="E388" s="20" t="str">
        <x:f>_xlfn.IFNA(VLOOKUP(_xlfn.CONCAT("T",E$1,"V",$D388,"A",$A388),Vulnerabilities!$G:$G,1,FALSE),"")</x:f>
      </x:c>
      <x:c r="F388" s="20" t="str">
        <x:f>_xlfn.IFNA(VLOOKUP(_xlfn.CONCAT("T",F$1,"V",$D388,"A",$A388),Vulnerabilities!$G:$G,1,FALSE),"")</x:f>
      </x:c>
      <x:c r="G388" s="20" t="str">
        <x:f>_xlfn.IFNA(VLOOKUP(_xlfn.CONCAT("T",G$1,"V",$D388,"A",$A388),Vulnerabilities!$G:$G,1,FALSE),"")</x:f>
      </x:c>
      <x:c r="H388" s="20" t="str">
        <x:f>_xlfn.IFNA(VLOOKUP(_xlfn.CONCAT("T",H$1,"V",$D388,"A",$A388),Vulnerabilities!$G:$G,1,FALSE),"")</x:f>
      </x:c>
      <x:c r="I388" s="20" t="str">
        <x:f>_xlfn.IFNA(VLOOKUP(_xlfn.CONCAT("T",I$1,"V",$D388,"A",$A388),Vulnerabilities!$G:$G,1,FALSE),"")</x:f>
      </x:c>
      <x:c r="J388" s="20" t="str">
        <x:f>_xlfn.IFNA(VLOOKUP(_xlfn.CONCAT("T",J$1,"V",$D388,"A",$A388),Vulnerabilities!$G:$G,1,FALSE),"")</x:f>
      </x:c>
      <x:c r="K388" s="20" t="str">
        <x:f>_xlfn.IFNA(VLOOKUP(_xlfn.CONCAT("T",K$1,"V",$D388,"A",$A388),Vulnerabilities!$G:$G,1,FALSE),"")</x:f>
      </x:c>
      <x:c r="L388" s="20" t="str">
        <x:f>_xlfn.IFNA(VLOOKUP(_xlfn.CONCAT("T",L$1,"V",$D388,"A",$A388),Vulnerabilities!$G:$G,1,FALSE),"")</x:f>
      </x:c>
      <x:c r="M388" s="20" t="str">
        <x:f>_xlfn.IFNA(VLOOKUP(_xlfn.CONCAT("T",M$1,"V",$D388,"A",$A388),Vulnerabilities!$G:$G,1,FALSE),"")</x:f>
      </x:c>
      <x:c r="N388" s="20" t="str">
        <x:f>_xlfn.IFNA(VLOOKUP(_xlfn.CONCAT("T",N$1,"V",$D388,"A",$A388),Vulnerabilities!$G:$G,1,FALSE),"")</x:f>
      </x:c>
      <x:c r="O388" s="20" t="str">
        <x:f>_xlfn.IFNA(VLOOKUP(_xlfn.CONCAT("T",O$1,"V",$D388,"A",$A388),Vulnerabilities!$G:$G,1,FALSE),"")</x:f>
      </x:c>
      <x:c r="P388" s="16" t="str">
        <x:f>_xlfn.IFNA(VLOOKUP(_xlfn.CONCAT("T",P$1,"V",$D388,"A",$A388),Vulnerabilities!$G:$G,1,FALSE),"")</x:f>
      </x:c>
    </x:row>
    <x:row r="389">
      <x:c r="A389" s="1">
        <x:f t="shared" si="6"/>
        <x:v>97</x:v>
      </x:c>
      <x:c r="B389" t="str">
        <x:f>IF(VLOOKUP($A389,Assets!$A:$C,2,FALSE)=0,"",VLOOKUP($A389,Assets!$A:$C,2,FALSE))</x:f>
      </x:c>
      <x:c r="C389" t="str">
        <x:f>IF(VLOOKUP($A389,Assets!$A:$C,3,FALSE)=0,"",VLOOKUP($A389,Assets!$A:$C,3,FALSE))</x:f>
      </x:c>
      <x:c r="D389" s="16">
        <x:v>3</x:v>
      </x:c>
      <x:c r="E389" s="20" t="str">
        <x:f>_xlfn.IFNA(VLOOKUP(_xlfn.CONCAT("T",E$1,"V",$D389,"A",$A389),Vulnerabilities!$G:$G,1,FALSE),"")</x:f>
      </x:c>
      <x:c r="F389" s="20" t="str">
        <x:f>_xlfn.IFNA(VLOOKUP(_xlfn.CONCAT("T",F$1,"V",$D389,"A",$A389),Vulnerabilities!$G:$G,1,FALSE),"")</x:f>
      </x:c>
      <x:c r="G389" s="20" t="str">
        <x:f>_xlfn.IFNA(VLOOKUP(_xlfn.CONCAT("T",G$1,"V",$D389,"A",$A389),Vulnerabilities!$G:$G,1,FALSE),"")</x:f>
      </x:c>
      <x:c r="H389" s="20" t="str">
        <x:f>_xlfn.IFNA(VLOOKUP(_xlfn.CONCAT("T",H$1,"V",$D389,"A",$A389),Vulnerabilities!$G:$G,1,FALSE),"")</x:f>
      </x:c>
      <x:c r="I389" s="20" t="str">
        <x:f>_xlfn.IFNA(VLOOKUP(_xlfn.CONCAT("T",I$1,"V",$D389,"A",$A389),Vulnerabilities!$G:$G,1,FALSE),"")</x:f>
      </x:c>
      <x:c r="J389" s="20" t="str">
        <x:f>_xlfn.IFNA(VLOOKUP(_xlfn.CONCAT("T",J$1,"V",$D389,"A",$A389),Vulnerabilities!$G:$G,1,FALSE),"")</x:f>
      </x:c>
      <x:c r="K389" s="20" t="str">
        <x:f>_xlfn.IFNA(VLOOKUP(_xlfn.CONCAT("T",K$1,"V",$D389,"A",$A389),Vulnerabilities!$G:$G,1,FALSE),"")</x:f>
      </x:c>
      <x:c r="L389" s="20" t="str">
        <x:f>_xlfn.IFNA(VLOOKUP(_xlfn.CONCAT("T",L$1,"V",$D389,"A",$A389),Vulnerabilities!$G:$G,1,FALSE),"")</x:f>
      </x:c>
      <x:c r="M389" s="20" t="str">
        <x:f>_xlfn.IFNA(VLOOKUP(_xlfn.CONCAT("T",M$1,"V",$D389,"A",$A389),Vulnerabilities!$G:$G,1,FALSE),"")</x:f>
      </x:c>
      <x:c r="N389" s="20" t="str">
        <x:f>_xlfn.IFNA(VLOOKUP(_xlfn.CONCAT("T",N$1,"V",$D389,"A",$A389),Vulnerabilities!$G:$G,1,FALSE),"")</x:f>
      </x:c>
      <x:c r="O389" s="20" t="str">
        <x:f>_xlfn.IFNA(VLOOKUP(_xlfn.CONCAT("T",O$1,"V",$D389,"A",$A389),Vulnerabilities!$G:$G,1,FALSE),"")</x:f>
      </x:c>
      <x:c r="P389" s="16" t="str">
        <x:f>_xlfn.IFNA(VLOOKUP(_xlfn.CONCAT("T",P$1,"V",$D389,"A",$A389),Vulnerabilities!$G:$G,1,FALSE),"")</x:f>
      </x:c>
    </x:row>
    <x:row r="390">
      <x:c r="A390" s="11">
        <x:f t="shared" si="6"/>
        <x:v>97</x:v>
      </x:c>
      <x:c r="B390" s="12" t="str">
        <x:f>IF(VLOOKUP($A390,Assets!$A:$C,2,FALSE)=0,"",VLOOKUP($A390,Assets!$A:$C,2,FALSE))</x:f>
      </x:c>
      <x:c r="C390" s="12" t="str">
        <x:f>IF(VLOOKUP($A390,Assets!$A:$C,3,FALSE)=0,"",VLOOKUP($A390,Assets!$A:$C,3,FALSE))</x:f>
      </x:c>
      <x:c r="D390" s="17">
        <x:v>4</x:v>
      </x:c>
      <x:c r="E390" s="21" t="str">
        <x:f>_xlfn.IFNA(VLOOKUP(_xlfn.CONCAT("T",E$1,"V",$D390,"A",$A390),Vulnerabilities!$G:$G,1,FALSE),"")</x:f>
      </x:c>
      <x:c r="F390" s="21" t="str">
        <x:f>_xlfn.IFNA(VLOOKUP(_xlfn.CONCAT("T",F$1,"V",$D390,"A",$A390),Vulnerabilities!$G:$G,1,FALSE),"")</x:f>
      </x:c>
      <x:c r="G390" s="21" t="str">
        <x:f>_xlfn.IFNA(VLOOKUP(_xlfn.CONCAT("T",G$1,"V",$D390,"A",$A390),Vulnerabilities!$G:$G,1,FALSE),"")</x:f>
      </x:c>
      <x:c r="H390" s="21" t="str">
        <x:f>_xlfn.IFNA(VLOOKUP(_xlfn.CONCAT("T",H$1,"V",$D390,"A",$A390),Vulnerabilities!$G:$G,1,FALSE),"")</x:f>
      </x:c>
      <x:c r="I390" s="21" t="str">
        <x:f>_xlfn.IFNA(VLOOKUP(_xlfn.CONCAT("T",I$1,"V",$D390,"A",$A390),Vulnerabilities!$G:$G,1,FALSE),"")</x:f>
      </x:c>
      <x:c r="J390" s="21" t="str">
        <x:f>_xlfn.IFNA(VLOOKUP(_xlfn.CONCAT("T",J$1,"V",$D390,"A",$A390),Vulnerabilities!$G:$G,1,FALSE),"")</x:f>
      </x:c>
      <x:c r="K390" s="21" t="str">
        <x:f>_xlfn.IFNA(VLOOKUP(_xlfn.CONCAT("T",K$1,"V",$D390,"A",$A390),Vulnerabilities!$G:$G,1,FALSE),"")</x:f>
      </x:c>
      <x:c r="L390" s="21" t="str">
        <x:f>_xlfn.IFNA(VLOOKUP(_xlfn.CONCAT("T",L$1,"V",$D390,"A",$A390),Vulnerabilities!$G:$G,1,FALSE),"")</x:f>
      </x:c>
      <x:c r="M390" s="21" t="str">
        <x:f>_xlfn.IFNA(VLOOKUP(_xlfn.CONCAT("T",M$1,"V",$D390,"A",$A390),Vulnerabilities!$G:$G,1,FALSE),"")</x:f>
      </x:c>
      <x:c r="N390" s="21" t="str">
        <x:f>_xlfn.IFNA(VLOOKUP(_xlfn.CONCAT("T",N$1,"V",$D390,"A",$A390),Vulnerabilities!$G:$G,1,FALSE),"")</x:f>
      </x:c>
      <x:c r="O390" s="21" t="str">
        <x:f>_xlfn.IFNA(VLOOKUP(_xlfn.CONCAT("T",O$1,"V",$D390,"A",$A390),Vulnerabilities!$G:$G,1,FALSE),"")</x:f>
      </x:c>
      <x:c r="P390" s="17" t="str">
        <x:f>_xlfn.IFNA(VLOOKUP(_xlfn.CONCAT("T",P$1,"V",$D390,"A",$A390),Vulnerabilities!$G:$G,1,FALSE),"")</x:f>
      </x:c>
    </x:row>
    <x:row r="391">
      <x:c r="A391" s="1">
        <x:f t="shared" si="6"/>
        <x:v>98</x:v>
      </x:c>
      <x:c r="B391" t="str">
        <x:f>IF(VLOOKUP($A391,Assets!$A:$C,2,FALSE)=0,"",VLOOKUP($A391,Assets!$A:$C,2,FALSE))</x:f>
      </x:c>
      <x:c r="C391" t="str">
        <x:f>IF(VLOOKUP($A391,Assets!$A:$C,3,FALSE)=0,"",VLOOKUP($A391,Assets!$A:$C,3,FALSE))</x:f>
      </x:c>
      <x:c r="D391" s="16">
        <x:v>1</x:v>
      </x:c>
      <x:c r="E391" s="20" t="str">
        <x:f>_xlfn.IFNA(VLOOKUP(_xlfn.CONCAT("T",E$1,"V",$D391,"A",$A391),Vulnerabilities!$G:$G,1,FALSE),"")</x:f>
      </x:c>
      <x:c r="F391" s="20" t="str">
        <x:f>_xlfn.IFNA(VLOOKUP(_xlfn.CONCAT("T",F$1,"V",$D391,"A",$A391),Vulnerabilities!$G:$G,1,FALSE),"")</x:f>
      </x:c>
      <x:c r="G391" s="20" t="str">
        <x:f>_xlfn.IFNA(VLOOKUP(_xlfn.CONCAT("T",G$1,"V",$D391,"A",$A391),Vulnerabilities!$G:$G,1,FALSE),"")</x:f>
      </x:c>
      <x:c r="H391" s="20" t="str">
        <x:f>_xlfn.IFNA(VLOOKUP(_xlfn.CONCAT("T",H$1,"V",$D391,"A",$A391),Vulnerabilities!$G:$G,1,FALSE),"")</x:f>
      </x:c>
      <x:c r="I391" s="20" t="str">
        <x:f>_xlfn.IFNA(VLOOKUP(_xlfn.CONCAT("T",I$1,"V",$D391,"A",$A391),Vulnerabilities!$G:$G,1,FALSE),"")</x:f>
      </x:c>
      <x:c r="J391" s="20" t="str">
        <x:f>_xlfn.IFNA(VLOOKUP(_xlfn.CONCAT("T",J$1,"V",$D391,"A",$A391),Vulnerabilities!$G:$G,1,FALSE),"")</x:f>
      </x:c>
      <x:c r="K391" s="20" t="str">
        <x:f>_xlfn.IFNA(VLOOKUP(_xlfn.CONCAT("T",K$1,"V",$D391,"A",$A391),Vulnerabilities!$G:$G,1,FALSE),"")</x:f>
      </x:c>
      <x:c r="L391" s="20" t="str">
        <x:f>_xlfn.IFNA(VLOOKUP(_xlfn.CONCAT("T",L$1,"V",$D391,"A",$A391),Vulnerabilities!$G:$G,1,FALSE),"")</x:f>
      </x:c>
      <x:c r="M391" s="20" t="str">
        <x:f>_xlfn.IFNA(VLOOKUP(_xlfn.CONCAT("T",M$1,"V",$D391,"A",$A391),Vulnerabilities!$G:$G,1,FALSE),"")</x:f>
      </x:c>
      <x:c r="N391" s="20" t="str">
        <x:f>_xlfn.IFNA(VLOOKUP(_xlfn.CONCAT("T",N$1,"V",$D391,"A",$A391),Vulnerabilities!$G:$G,1,FALSE),"")</x:f>
      </x:c>
      <x:c r="O391" s="20" t="str">
        <x:f>_xlfn.IFNA(VLOOKUP(_xlfn.CONCAT("T",O$1,"V",$D391,"A",$A391),Vulnerabilities!$G:$G,1,FALSE),"")</x:f>
      </x:c>
      <x:c r="P391" s="16" t="str">
        <x:f>_xlfn.IFNA(VLOOKUP(_xlfn.CONCAT("T",P$1,"V",$D391,"A",$A391),Vulnerabilities!$G:$G,1,FALSE),"")</x:f>
      </x:c>
    </x:row>
    <x:row r="392">
      <x:c r="A392" s="1">
        <x:f t="shared" si="6"/>
        <x:v>98</x:v>
      </x:c>
      <x:c r="B392" t="str">
        <x:f>IF(VLOOKUP($A392,Assets!$A:$C,2,FALSE)=0,"",VLOOKUP($A392,Assets!$A:$C,2,FALSE))</x:f>
      </x:c>
      <x:c r="C392" t="str">
        <x:f>IF(VLOOKUP($A392,Assets!$A:$C,3,FALSE)=0,"",VLOOKUP($A392,Assets!$A:$C,3,FALSE))</x:f>
      </x:c>
      <x:c r="D392" s="16">
        <x:v>2</x:v>
      </x:c>
      <x:c r="E392" s="20" t="str">
        <x:f>_xlfn.IFNA(VLOOKUP(_xlfn.CONCAT("T",E$1,"V",$D392,"A",$A392),Vulnerabilities!$G:$G,1,FALSE),"")</x:f>
      </x:c>
      <x:c r="F392" s="20" t="str">
        <x:f>_xlfn.IFNA(VLOOKUP(_xlfn.CONCAT("T",F$1,"V",$D392,"A",$A392),Vulnerabilities!$G:$G,1,FALSE),"")</x:f>
      </x:c>
      <x:c r="G392" s="20" t="str">
        <x:f>_xlfn.IFNA(VLOOKUP(_xlfn.CONCAT("T",G$1,"V",$D392,"A",$A392),Vulnerabilities!$G:$G,1,FALSE),"")</x:f>
      </x:c>
      <x:c r="H392" s="20" t="str">
        <x:f>_xlfn.IFNA(VLOOKUP(_xlfn.CONCAT("T",H$1,"V",$D392,"A",$A392),Vulnerabilities!$G:$G,1,FALSE),"")</x:f>
      </x:c>
      <x:c r="I392" s="20" t="str">
        <x:f>_xlfn.IFNA(VLOOKUP(_xlfn.CONCAT("T",I$1,"V",$D392,"A",$A392),Vulnerabilities!$G:$G,1,FALSE),"")</x:f>
      </x:c>
      <x:c r="J392" s="20" t="str">
        <x:f>_xlfn.IFNA(VLOOKUP(_xlfn.CONCAT("T",J$1,"V",$D392,"A",$A392),Vulnerabilities!$G:$G,1,FALSE),"")</x:f>
      </x:c>
      <x:c r="K392" s="20" t="str">
        <x:f>_xlfn.IFNA(VLOOKUP(_xlfn.CONCAT("T",K$1,"V",$D392,"A",$A392),Vulnerabilities!$G:$G,1,FALSE),"")</x:f>
      </x:c>
      <x:c r="L392" s="20" t="str">
        <x:f>_xlfn.IFNA(VLOOKUP(_xlfn.CONCAT("T",L$1,"V",$D392,"A",$A392),Vulnerabilities!$G:$G,1,FALSE),"")</x:f>
      </x:c>
      <x:c r="M392" s="20" t="str">
        <x:f>_xlfn.IFNA(VLOOKUP(_xlfn.CONCAT("T",M$1,"V",$D392,"A",$A392),Vulnerabilities!$G:$G,1,FALSE),"")</x:f>
      </x:c>
      <x:c r="N392" s="20" t="str">
        <x:f>_xlfn.IFNA(VLOOKUP(_xlfn.CONCAT("T",N$1,"V",$D392,"A",$A392),Vulnerabilities!$G:$G,1,FALSE),"")</x:f>
      </x:c>
      <x:c r="O392" s="20" t="str">
        <x:f>_xlfn.IFNA(VLOOKUP(_xlfn.CONCAT("T",O$1,"V",$D392,"A",$A392),Vulnerabilities!$G:$G,1,FALSE),"")</x:f>
      </x:c>
      <x:c r="P392" s="16" t="str">
        <x:f>_xlfn.IFNA(VLOOKUP(_xlfn.CONCAT("T",P$1,"V",$D392,"A",$A392),Vulnerabilities!$G:$G,1,FALSE),"")</x:f>
      </x:c>
    </x:row>
    <x:row r="393">
      <x:c r="A393" s="1">
        <x:f t="shared" si="6"/>
        <x:v>98</x:v>
      </x:c>
      <x:c r="B393" t="str">
        <x:f>IF(VLOOKUP($A393,Assets!$A:$C,2,FALSE)=0,"",VLOOKUP($A393,Assets!$A:$C,2,FALSE))</x:f>
      </x:c>
      <x:c r="C393" t="str">
        <x:f>IF(VLOOKUP($A393,Assets!$A:$C,3,FALSE)=0,"",VLOOKUP($A393,Assets!$A:$C,3,FALSE))</x:f>
      </x:c>
      <x:c r="D393" s="16">
        <x:v>3</x:v>
      </x:c>
      <x:c r="E393" s="20" t="str">
        <x:f>_xlfn.IFNA(VLOOKUP(_xlfn.CONCAT("T",E$1,"V",$D393,"A",$A393),Vulnerabilities!$G:$G,1,FALSE),"")</x:f>
      </x:c>
      <x:c r="F393" s="20" t="str">
        <x:f>_xlfn.IFNA(VLOOKUP(_xlfn.CONCAT("T",F$1,"V",$D393,"A",$A393),Vulnerabilities!$G:$G,1,FALSE),"")</x:f>
      </x:c>
      <x:c r="G393" s="20" t="str">
        <x:f>_xlfn.IFNA(VLOOKUP(_xlfn.CONCAT("T",G$1,"V",$D393,"A",$A393),Vulnerabilities!$G:$G,1,FALSE),"")</x:f>
      </x:c>
      <x:c r="H393" s="20" t="str">
        <x:f>_xlfn.IFNA(VLOOKUP(_xlfn.CONCAT("T",H$1,"V",$D393,"A",$A393),Vulnerabilities!$G:$G,1,FALSE),"")</x:f>
      </x:c>
      <x:c r="I393" s="20" t="str">
        <x:f>_xlfn.IFNA(VLOOKUP(_xlfn.CONCAT("T",I$1,"V",$D393,"A",$A393),Vulnerabilities!$G:$G,1,FALSE),"")</x:f>
      </x:c>
      <x:c r="J393" s="20" t="str">
        <x:f>_xlfn.IFNA(VLOOKUP(_xlfn.CONCAT("T",J$1,"V",$D393,"A",$A393),Vulnerabilities!$G:$G,1,FALSE),"")</x:f>
      </x:c>
      <x:c r="K393" s="20" t="str">
        <x:f>_xlfn.IFNA(VLOOKUP(_xlfn.CONCAT("T",K$1,"V",$D393,"A",$A393),Vulnerabilities!$G:$G,1,FALSE),"")</x:f>
      </x:c>
      <x:c r="L393" s="20" t="str">
        <x:f>_xlfn.IFNA(VLOOKUP(_xlfn.CONCAT("T",L$1,"V",$D393,"A",$A393),Vulnerabilities!$G:$G,1,FALSE),"")</x:f>
      </x:c>
      <x:c r="M393" s="20" t="str">
        <x:f>_xlfn.IFNA(VLOOKUP(_xlfn.CONCAT("T",M$1,"V",$D393,"A",$A393),Vulnerabilities!$G:$G,1,FALSE),"")</x:f>
      </x:c>
      <x:c r="N393" s="20" t="str">
        <x:f>_xlfn.IFNA(VLOOKUP(_xlfn.CONCAT("T",N$1,"V",$D393,"A",$A393),Vulnerabilities!$G:$G,1,FALSE),"")</x:f>
      </x:c>
      <x:c r="O393" s="20" t="str">
        <x:f>_xlfn.IFNA(VLOOKUP(_xlfn.CONCAT("T",O$1,"V",$D393,"A",$A393),Vulnerabilities!$G:$G,1,FALSE),"")</x:f>
      </x:c>
      <x:c r="P393" s="16" t="str">
        <x:f>_xlfn.IFNA(VLOOKUP(_xlfn.CONCAT("T",P$1,"V",$D393,"A",$A393),Vulnerabilities!$G:$G,1,FALSE),"")</x:f>
      </x:c>
    </x:row>
    <x:row r="394">
      <x:c r="A394" s="11">
        <x:f t="shared" si="6"/>
        <x:v>98</x:v>
      </x:c>
      <x:c r="B394" s="12" t="str">
        <x:f>IF(VLOOKUP($A394,Assets!$A:$C,2,FALSE)=0,"",VLOOKUP($A394,Assets!$A:$C,2,FALSE))</x:f>
      </x:c>
      <x:c r="C394" s="12" t="str">
        <x:f>IF(VLOOKUP($A394,Assets!$A:$C,3,FALSE)=0,"",VLOOKUP($A394,Assets!$A:$C,3,FALSE))</x:f>
      </x:c>
      <x:c r="D394" s="17">
        <x:v>4</x:v>
      </x:c>
      <x:c r="E394" s="21" t="str">
        <x:f>_xlfn.IFNA(VLOOKUP(_xlfn.CONCAT("T",E$1,"V",$D394,"A",$A394),Vulnerabilities!$G:$G,1,FALSE),"")</x:f>
      </x:c>
      <x:c r="F394" s="21" t="str">
        <x:f>_xlfn.IFNA(VLOOKUP(_xlfn.CONCAT("T",F$1,"V",$D394,"A",$A394),Vulnerabilities!$G:$G,1,FALSE),"")</x:f>
      </x:c>
      <x:c r="G394" s="21" t="str">
        <x:f>_xlfn.IFNA(VLOOKUP(_xlfn.CONCAT("T",G$1,"V",$D394,"A",$A394),Vulnerabilities!$G:$G,1,FALSE),"")</x:f>
      </x:c>
      <x:c r="H394" s="21" t="str">
        <x:f>_xlfn.IFNA(VLOOKUP(_xlfn.CONCAT("T",H$1,"V",$D394,"A",$A394),Vulnerabilities!$G:$G,1,FALSE),"")</x:f>
      </x:c>
      <x:c r="I394" s="21" t="str">
        <x:f>_xlfn.IFNA(VLOOKUP(_xlfn.CONCAT("T",I$1,"V",$D394,"A",$A394),Vulnerabilities!$G:$G,1,FALSE),"")</x:f>
      </x:c>
      <x:c r="J394" s="21" t="str">
        <x:f>_xlfn.IFNA(VLOOKUP(_xlfn.CONCAT("T",J$1,"V",$D394,"A",$A394),Vulnerabilities!$G:$G,1,FALSE),"")</x:f>
      </x:c>
      <x:c r="K394" s="21" t="str">
        <x:f>_xlfn.IFNA(VLOOKUP(_xlfn.CONCAT("T",K$1,"V",$D394,"A",$A394),Vulnerabilities!$G:$G,1,FALSE),"")</x:f>
      </x:c>
      <x:c r="L394" s="21" t="str">
        <x:f>_xlfn.IFNA(VLOOKUP(_xlfn.CONCAT("T",L$1,"V",$D394,"A",$A394),Vulnerabilities!$G:$G,1,FALSE),"")</x:f>
      </x:c>
      <x:c r="M394" s="21" t="str">
        <x:f>_xlfn.IFNA(VLOOKUP(_xlfn.CONCAT("T",M$1,"V",$D394,"A",$A394),Vulnerabilities!$G:$G,1,FALSE),"")</x:f>
      </x:c>
      <x:c r="N394" s="21" t="str">
        <x:f>_xlfn.IFNA(VLOOKUP(_xlfn.CONCAT("T",N$1,"V",$D394,"A",$A394),Vulnerabilities!$G:$G,1,FALSE),"")</x:f>
      </x:c>
      <x:c r="O394" s="21" t="str">
        <x:f>_xlfn.IFNA(VLOOKUP(_xlfn.CONCAT("T",O$1,"V",$D394,"A",$A394),Vulnerabilities!$G:$G,1,FALSE),"")</x:f>
      </x:c>
      <x:c r="P394" s="17" t="str">
        <x:f>_xlfn.IFNA(VLOOKUP(_xlfn.CONCAT("T",P$1,"V",$D394,"A",$A394),Vulnerabilities!$G:$G,1,FALSE),"")</x:f>
      </x:c>
    </x:row>
    <x:row r="395">
      <x:c r="A395" s="1">
        <x:f t="shared" si="6"/>
        <x:v>99</x:v>
      </x:c>
      <x:c r="B395" t="str">
        <x:f>IF(VLOOKUP($A395,Assets!$A:$C,2,FALSE)=0,"",VLOOKUP($A395,Assets!$A:$C,2,FALSE))</x:f>
      </x:c>
      <x:c r="C395" t="str">
        <x:f>IF(VLOOKUP($A395,Assets!$A:$C,3,FALSE)=0,"",VLOOKUP($A395,Assets!$A:$C,3,FALSE))</x:f>
      </x:c>
      <x:c r="D395" s="16">
        <x:v>1</x:v>
      </x:c>
      <x:c r="E395" s="20" t="str">
        <x:f>_xlfn.IFNA(VLOOKUP(_xlfn.CONCAT("T",E$1,"V",$D395,"A",$A395),Vulnerabilities!$G:$G,1,FALSE),"")</x:f>
      </x:c>
      <x:c r="F395" s="20" t="str">
        <x:f>_xlfn.IFNA(VLOOKUP(_xlfn.CONCAT("T",F$1,"V",$D395,"A",$A395),Vulnerabilities!$G:$G,1,FALSE),"")</x:f>
      </x:c>
      <x:c r="G395" s="20" t="str">
        <x:f>_xlfn.IFNA(VLOOKUP(_xlfn.CONCAT("T",G$1,"V",$D395,"A",$A395),Vulnerabilities!$G:$G,1,FALSE),"")</x:f>
      </x:c>
      <x:c r="H395" s="20" t="str">
        <x:f>_xlfn.IFNA(VLOOKUP(_xlfn.CONCAT("T",H$1,"V",$D395,"A",$A395),Vulnerabilities!$G:$G,1,FALSE),"")</x:f>
      </x:c>
      <x:c r="I395" s="20" t="str">
        <x:f>_xlfn.IFNA(VLOOKUP(_xlfn.CONCAT("T",I$1,"V",$D395,"A",$A395),Vulnerabilities!$G:$G,1,FALSE),"")</x:f>
      </x:c>
      <x:c r="J395" s="20" t="str">
        <x:f>_xlfn.IFNA(VLOOKUP(_xlfn.CONCAT("T",J$1,"V",$D395,"A",$A395),Vulnerabilities!$G:$G,1,FALSE),"")</x:f>
      </x:c>
      <x:c r="K395" s="20" t="str">
        <x:f>_xlfn.IFNA(VLOOKUP(_xlfn.CONCAT("T",K$1,"V",$D395,"A",$A395),Vulnerabilities!$G:$G,1,FALSE),"")</x:f>
      </x:c>
      <x:c r="L395" s="20" t="str">
        <x:f>_xlfn.IFNA(VLOOKUP(_xlfn.CONCAT("T",L$1,"V",$D395,"A",$A395),Vulnerabilities!$G:$G,1,FALSE),"")</x:f>
      </x:c>
      <x:c r="M395" s="20" t="str">
        <x:f>_xlfn.IFNA(VLOOKUP(_xlfn.CONCAT("T",M$1,"V",$D395,"A",$A395),Vulnerabilities!$G:$G,1,FALSE),"")</x:f>
      </x:c>
      <x:c r="N395" s="20" t="str">
        <x:f>_xlfn.IFNA(VLOOKUP(_xlfn.CONCAT("T",N$1,"V",$D395,"A",$A395),Vulnerabilities!$G:$G,1,FALSE),"")</x:f>
      </x:c>
      <x:c r="O395" s="20" t="str">
        <x:f>_xlfn.IFNA(VLOOKUP(_xlfn.CONCAT("T",O$1,"V",$D395,"A",$A395),Vulnerabilities!$G:$G,1,FALSE),"")</x:f>
      </x:c>
      <x:c r="P395" s="16" t="str">
        <x:f>_xlfn.IFNA(VLOOKUP(_xlfn.CONCAT("T",P$1,"V",$D395,"A",$A395),Vulnerabilities!$G:$G,1,FALSE),"")</x:f>
      </x:c>
    </x:row>
    <x:row r="396">
      <x:c r="A396" s="1">
        <x:f t="shared" si="6"/>
        <x:v>99</x:v>
      </x:c>
      <x:c r="B396" t="str">
        <x:f>IF(VLOOKUP($A396,Assets!$A:$C,2,FALSE)=0,"",VLOOKUP($A396,Assets!$A:$C,2,FALSE))</x:f>
      </x:c>
      <x:c r="C396" t="str">
        <x:f>IF(VLOOKUP($A396,Assets!$A:$C,3,FALSE)=0,"",VLOOKUP($A396,Assets!$A:$C,3,FALSE))</x:f>
      </x:c>
      <x:c r="D396" s="16">
        <x:v>2</x:v>
      </x:c>
      <x:c r="E396" s="20" t="str">
        <x:f>_xlfn.IFNA(VLOOKUP(_xlfn.CONCAT("T",E$1,"V",$D396,"A",$A396),Vulnerabilities!$G:$G,1,FALSE),"")</x:f>
      </x:c>
      <x:c r="F396" s="20" t="str">
        <x:f>_xlfn.IFNA(VLOOKUP(_xlfn.CONCAT("T",F$1,"V",$D396,"A",$A396),Vulnerabilities!$G:$G,1,FALSE),"")</x:f>
      </x:c>
      <x:c r="G396" s="20" t="str">
        <x:f>_xlfn.IFNA(VLOOKUP(_xlfn.CONCAT("T",G$1,"V",$D396,"A",$A396),Vulnerabilities!$G:$G,1,FALSE),"")</x:f>
      </x:c>
      <x:c r="H396" s="20" t="str">
        <x:f>_xlfn.IFNA(VLOOKUP(_xlfn.CONCAT("T",H$1,"V",$D396,"A",$A396),Vulnerabilities!$G:$G,1,FALSE),"")</x:f>
      </x:c>
      <x:c r="I396" s="20" t="str">
        <x:f>_xlfn.IFNA(VLOOKUP(_xlfn.CONCAT("T",I$1,"V",$D396,"A",$A396),Vulnerabilities!$G:$G,1,FALSE),"")</x:f>
      </x:c>
      <x:c r="J396" s="20" t="str">
        <x:f>_xlfn.IFNA(VLOOKUP(_xlfn.CONCAT("T",J$1,"V",$D396,"A",$A396),Vulnerabilities!$G:$G,1,FALSE),"")</x:f>
      </x:c>
      <x:c r="K396" s="20" t="str">
        <x:f>_xlfn.IFNA(VLOOKUP(_xlfn.CONCAT("T",K$1,"V",$D396,"A",$A396),Vulnerabilities!$G:$G,1,FALSE),"")</x:f>
      </x:c>
      <x:c r="L396" s="20" t="str">
        <x:f>_xlfn.IFNA(VLOOKUP(_xlfn.CONCAT("T",L$1,"V",$D396,"A",$A396),Vulnerabilities!$G:$G,1,FALSE),"")</x:f>
      </x:c>
      <x:c r="M396" s="20" t="str">
        <x:f>_xlfn.IFNA(VLOOKUP(_xlfn.CONCAT("T",M$1,"V",$D396,"A",$A396),Vulnerabilities!$G:$G,1,FALSE),"")</x:f>
      </x:c>
      <x:c r="N396" s="20" t="str">
        <x:f>_xlfn.IFNA(VLOOKUP(_xlfn.CONCAT("T",N$1,"V",$D396,"A",$A396),Vulnerabilities!$G:$G,1,FALSE),"")</x:f>
      </x:c>
      <x:c r="O396" s="20" t="str">
        <x:f>_xlfn.IFNA(VLOOKUP(_xlfn.CONCAT("T",O$1,"V",$D396,"A",$A396),Vulnerabilities!$G:$G,1,FALSE),"")</x:f>
      </x:c>
      <x:c r="P396" s="16" t="str">
        <x:f>_xlfn.IFNA(VLOOKUP(_xlfn.CONCAT("T",P$1,"V",$D396,"A",$A396),Vulnerabilities!$G:$G,1,FALSE),"")</x:f>
      </x:c>
    </x:row>
    <x:row r="397">
      <x:c r="A397" s="1">
        <x:f t="shared" si="6"/>
        <x:v>99</x:v>
      </x:c>
      <x:c r="B397" t="str">
        <x:f>IF(VLOOKUP($A397,Assets!$A:$C,2,FALSE)=0,"",VLOOKUP($A397,Assets!$A:$C,2,FALSE))</x:f>
      </x:c>
      <x:c r="C397" t="str">
        <x:f>IF(VLOOKUP($A397,Assets!$A:$C,3,FALSE)=0,"",VLOOKUP($A397,Assets!$A:$C,3,FALSE))</x:f>
      </x:c>
      <x:c r="D397" s="16">
        <x:v>3</x:v>
      </x:c>
      <x:c r="E397" s="20" t="str">
        <x:f>_xlfn.IFNA(VLOOKUP(_xlfn.CONCAT("T",E$1,"V",$D397,"A",$A397),Vulnerabilities!$G:$G,1,FALSE),"")</x:f>
      </x:c>
      <x:c r="F397" s="20" t="str">
        <x:f>_xlfn.IFNA(VLOOKUP(_xlfn.CONCAT("T",F$1,"V",$D397,"A",$A397),Vulnerabilities!$G:$G,1,FALSE),"")</x:f>
      </x:c>
      <x:c r="G397" s="20" t="str">
        <x:f>_xlfn.IFNA(VLOOKUP(_xlfn.CONCAT("T",G$1,"V",$D397,"A",$A397),Vulnerabilities!$G:$G,1,FALSE),"")</x:f>
      </x:c>
      <x:c r="H397" s="20" t="str">
        <x:f>_xlfn.IFNA(VLOOKUP(_xlfn.CONCAT("T",H$1,"V",$D397,"A",$A397),Vulnerabilities!$G:$G,1,FALSE),"")</x:f>
      </x:c>
      <x:c r="I397" s="20" t="str">
        <x:f>_xlfn.IFNA(VLOOKUP(_xlfn.CONCAT("T",I$1,"V",$D397,"A",$A397),Vulnerabilities!$G:$G,1,FALSE),"")</x:f>
      </x:c>
      <x:c r="J397" s="20" t="str">
        <x:f>_xlfn.IFNA(VLOOKUP(_xlfn.CONCAT("T",J$1,"V",$D397,"A",$A397),Vulnerabilities!$G:$G,1,FALSE),"")</x:f>
      </x:c>
      <x:c r="K397" s="20" t="str">
        <x:f>_xlfn.IFNA(VLOOKUP(_xlfn.CONCAT("T",K$1,"V",$D397,"A",$A397),Vulnerabilities!$G:$G,1,FALSE),"")</x:f>
      </x:c>
      <x:c r="L397" s="20" t="str">
        <x:f>_xlfn.IFNA(VLOOKUP(_xlfn.CONCAT("T",L$1,"V",$D397,"A",$A397),Vulnerabilities!$G:$G,1,FALSE),"")</x:f>
      </x:c>
      <x:c r="M397" s="20" t="str">
        <x:f>_xlfn.IFNA(VLOOKUP(_xlfn.CONCAT("T",M$1,"V",$D397,"A",$A397),Vulnerabilities!$G:$G,1,FALSE),"")</x:f>
      </x:c>
      <x:c r="N397" s="20" t="str">
        <x:f>_xlfn.IFNA(VLOOKUP(_xlfn.CONCAT("T",N$1,"V",$D397,"A",$A397),Vulnerabilities!$G:$G,1,FALSE),"")</x:f>
      </x:c>
      <x:c r="O397" s="20" t="str">
        <x:f>_xlfn.IFNA(VLOOKUP(_xlfn.CONCAT("T",O$1,"V",$D397,"A",$A397),Vulnerabilities!$G:$G,1,FALSE),"")</x:f>
      </x:c>
      <x:c r="P397" s="16" t="str">
        <x:f>_xlfn.IFNA(VLOOKUP(_xlfn.CONCAT("T",P$1,"V",$D397,"A",$A397),Vulnerabilities!$G:$G,1,FALSE),"")</x:f>
      </x:c>
    </x:row>
    <x:row r="398">
      <x:c r="A398" s="11">
        <x:f t="shared" si="6"/>
        <x:v>99</x:v>
      </x:c>
      <x:c r="B398" s="12" t="str">
        <x:f>IF(VLOOKUP($A398,Assets!$A:$C,2,FALSE)=0,"",VLOOKUP($A398,Assets!$A:$C,2,FALSE))</x:f>
      </x:c>
      <x:c r="C398" s="12" t="str">
        <x:f>IF(VLOOKUP($A398,Assets!$A:$C,3,FALSE)=0,"",VLOOKUP($A398,Assets!$A:$C,3,FALSE))</x:f>
      </x:c>
      <x:c r="D398" s="17">
        <x:v>4</x:v>
      </x:c>
      <x:c r="E398" s="21" t="str">
        <x:f>_xlfn.IFNA(VLOOKUP(_xlfn.CONCAT("T",E$1,"V",$D398,"A",$A398),Vulnerabilities!$G:$G,1,FALSE),"")</x:f>
      </x:c>
      <x:c r="F398" s="21" t="str">
        <x:f>_xlfn.IFNA(VLOOKUP(_xlfn.CONCAT("T",F$1,"V",$D398,"A",$A398),Vulnerabilities!$G:$G,1,FALSE),"")</x:f>
      </x:c>
      <x:c r="G398" s="21" t="str">
        <x:f>_xlfn.IFNA(VLOOKUP(_xlfn.CONCAT("T",G$1,"V",$D398,"A",$A398),Vulnerabilities!$G:$G,1,FALSE),"")</x:f>
      </x:c>
      <x:c r="H398" s="21" t="str">
        <x:f>_xlfn.IFNA(VLOOKUP(_xlfn.CONCAT("T",H$1,"V",$D398,"A",$A398),Vulnerabilities!$G:$G,1,FALSE),"")</x:f>
      </x:c>
      <x:c r="I398" s="21" t="str">
        <x:f>_xlfn.IFNA(VLOOKUP(_xlfn.CONCAT("T",I$1,"V",$D398,"A",$A398),Vulnerabilities!$G:$G,1,FALSE),"")</x:f>
      </x:c>
      <x:c r="J398" s="21" t="str">
        <x:f>_xlfn.IFNA(VLOOKUP(_xlfn.CONCAT("T",J$1,"V",$D398,"A",$A398),Vulnerabilities!$G:$G,1,FALSE),"")</x:f>
      </x:c>
      <x:c r="K398" s="21" t="str">
        <x:f>_xlfn.IFNA(VLOOKUP(_xlfn.CONCAT("T",K$1,"V",$D398,"A",$A398),Vulnerabilities!$G:$G,1,FALSE),"")</x:f>
      </x:c>
      <x:c r="L398" s="21" t="str">
        <x:f>_xlfn.IFNA(VLOOKUP(_xlfn.CONCAT("T",L$1,"V",$D398,"A",$A398),Vulnerabilities!$G:$G,1,FALSE),"")</x:f>
      </x:c>
      <x:c r="M398" s="21" t="str">
        <x:f>_xlfn.IFNA(VLOOKUP(_xlfn.CONCAT("T",M$1,"V",$D398,"A",$A398),Vulnerabilities!$G:$G,1,FALSE),"")</x:f>
      </x:c>
      <x:c r="N398" s="21" t="str">
        <x:f>_xlfn.IFNA(VLOOKUP(_xlfn.CONCAT("T",N$1,"V",$D398,"A",$A398),Vulnerabilities!$G:$G,1,FALSE),"")</x:f>
      </x:c>
      <x:c r="O398" s="21" t="str">
        <x:f>_xlfn.IFNA(VLOOKUP(_xlfn.CONCAT("T",O$1,"V",$D398,"A",$A398),Vulnerabilities!$G:$G,1,FALSE),"")</x:f>
      </x:c>
      <x:c r="P398" s="17" t="str">
        <x:f>_xlfn.IFNA(VLOOKUP(_xlfn.CONCAT("T",P$1,"V",$D398,"A",$A398),Vulnerabilities!$G:$G,1,FALSE),"")</x:f>
      </x:c>
    </x:row>
    <x:row r="399">
      <x:c r="A399" s="1">
        <x:f t="shared" si="6"/>
        <x:v>100</x:v>
      </x:c>
      <x:c r="B399" t="str">
        <x:f>IF(VLOOKUP($A399,Assets!$A:$C,2,FALSE)=0,"",VLOOKUP($A399,Assets!$A:$C,2,FALSE))</x:f>
      </x:c>
      <x:c r="C399" t="str">
        <x:f>IF(VLOOKUP($A399,Assets!$A:$C,3,FALSE)=0,"",VLOOKUP($A399,Assets!$A:$C,3,FALSE))</x:f>
      </x:c>
      <x:c r="D399" s="16">
        <x:v>1</x:v>
      </x:c>
      <x:c r="E399" s="20" t="str">
        <x:f>_xlfn.IFNA(VLOOKUP(_xlfn.CONCAT("T",E$1,"V",$D399,"A",$A399),Vulnerabilities!$G:$G,1,FALSE),"")</x:f>
      </x:c>
      <x:c r="F399" s="20" t="str">
        <x:f>_xlfn.IFNA(VLOOKUP(_xlfn.CONCAT("T",F$1,"V",$D399,"A",$A399),Vulnerabilities!$G:$G,1,FALSE),"")</x:f>
      </x:c>
      <x:c r="G399" s="20" t="str">
        <x:f>_xlfn.IFNA(VLOOKUP(_xlfn.CONCAT("T",G$1,"V",$D399,"A",$A399),Vulnerabilities!$G:$G,1,FALSE),"")</x:f>
      </x:c>
      <x:c r="H399" s="20" t="str">
        <x:f>_xlfn.IFNA(VLOOKUP(_xlfn.CONCAT("T",H$1,"V",$D399,"A",$A399),Vulnerabilities!$G:$G,1,FALSE),"")</x:f>
      </x:c>
      <x:c r="I399" s="20" t="str">
        <x:f>_xlfn.IFNA(VLOOKUP(_xlfn.CONCAT("T",I$1,"V",$D399,"A",$A399),Vulnerabilities!$G:$G,1,FALSE),"")</x:f>
      </x:c>
      <x:c r="J399" s="20" t="str">
        <x:f>_xlfn.IFNA(VLOOKUP(_xlfn.CONCAT("T",J$1,"V",$D399,"A",$A399),Vulnerabilities!$G:$G,1,FALSE),"")</x:f>
      </x:c>
      <x:c r="K399" s="20" t="str">
        <x:f>_xlfn.IFNA(VLOOKUP(_xlfn.CONCAT("T",K$1,"V",$D399,"A",$A399),Vulnerabilities!$G:$G,1,FALSE),"")</x:f>
      </x:c>
      <x:c r="L399" s="20" t="str">
        <x:f>_xlfn.IFNA(VLOOKUP(_xlfn.CONCAT("T",L$1,"V",$D399,"A",$A399),Vulnerabilities!$G:$G,1,FALSE),"")</x:f>
      </x:c>
      <x:c r="M399" s="20" t="str">
        <x:f>_xlfn.IFNA(VLOOKUP(_xlfn.CONCAT("T",M$1,"V",$D399,"A",$A399),Vulnerabilities!$G:$G,1,FALSE),"")</x:f>
      </x:c>
      <x:c r="N399" s="20" t="str">
        <x:f>_xlfn.IFNA(VLOOKUP(_xlfn.CONCAT("T",N$1,"V",$D399,"A",$A399),Vulnerabilities!$G:$G,1,FALSE),"")</x:f>
      </x:c>
      <x:c r="O399" s="20" t="str">
        <x:f>_xlfn.IFNA(VLOOKUP(_xlfn.CONCAT("T",O$1,"V",$D399,"A",$A399),Vulnerabilities!$G:$G,1,FALSE),"")</x:f>
      </x:c>
      <x:c r="P399" s="16" t="str">
        <x:f>_xlfn.IFNA(VLOOKUP(_xlfn.CONCAT("T",P$1,"V",$D399,"A",$A399),Vulnerabilities!$G:$G,1,FALSE),"")</x:f>
      </x:c>
    </x:row>
    <x:row r="400">
      <x:c r="A400" s="1">
        <x:f t="shared" si="6"/>
        <x:v>100</x:v>
      </x:c>
      <x:c r="B400" t="str">
        <x:f>IF(VLOOKUP($A400,Assets!$A:$C,2,FALSE)=0,"",VLOOKUP($A400,Assets!$A:$C,2,FALSE))</x:f>
      </x:c>
      <x:c r="C400" t="str">
        <x:f>IF(VLOOKUP($A400,Assets!$A:$C,3,FALSE)=0,"",VLOOKUP($A400,Assets!$A:$C,3,FALSE))</x:f>
      </x:c>
      <x:c r="D400" s="16">
        <x:v>2</x:v>
      </x:c>
      <x:c r="E400" s="20" t="str">
        <x:f>_xlfn.IFNA(VLOOKUP(_xlfn.CONCAT("T",E$1,"V",$D400,"A",$A400),Vulnerabilities!$G:$G,1,FALSE),"")</x:f>
      </x:c>
      <x:c r="F400" s="20" t="str">
        <x:f>_xlfn.IFNA(VLOOKUP(_xlfn.CONCAT("T",F$1,"V",$D400,"A",$A400),Vulnerabilities!$G:$G,1,FALSE),"")</x:f>
      </x:c>
      <x:c r="G400" s="20" t="str">
        <x:f>_xlfn.IFNA(VLOOKUP(_xlfn.CONCAT("T",G$1,"V",$D400,"A",$A400),Vulnerabilities!$G:$G,1,FALSE),"")</x:f>
      </x:c>
      <x:c r="H400" s="20" t="str">
        <x:f>_xlfn.IFNA(VLOOKUP(_xlfn.CONCAT("T",H$1,"V",$D400,"A",$A400),Vulnerabilities!$G:$G,1,FALSE),"")</x:f>
      </x:c>
      <x:c r="I400" s="20" t="str">
        <x:f>_xlfn.IFNA(VLOOKUP(_xlfn.CONCAT("T",I$1,"V",$D400,"A",$A400),Vulnerabilities!$G:$G,1,FALSE),"")</x:f>
      </x:c>
      <x:c r="J400" s="20" t="str">
        <x:f>_xlfn.IFNA(VLOOKUP(_xlfn.CONCAT("T",J$1,"V",$D400,"A",$A400),Vulnerabilities!$G:$G,1,FALSE),"")</x:f>
      </x:c>
      <x:c r="K400" s="20" t="str">
        <x:f>_xlfn.IFNA(VLOOKUP(_xlfn.CONCAT("T",K$1,"V",$D400,"A",$A400),Vulnerabilities!$G:$G,1,FALSE),"")</x:f>
      </x:c>
      <x:c r="L400" s="20" t="str">
        <x:f>_xlfn.IFNA(VLOOKUP(_xlfn.CONCAT("T",L$1,"V",$D400,"A",$A400),Vulnerabilities!$G:$G,1,FALSE),"")</x:f>
      </x:c>
      <x:c r="M400" s="20" t="str">
        <x:f>_xlfn.IFNA(VLOOKUP(_xlfn.CONCAT("T",M$1,"V",$D400,"A",$A400),Vulnerabilities!$G:$G,1,FALSE),"")</x:f>
      </x:c>
      <x:c r="N400" s="20" t="str">
        <x:f>_xlfn.IFNA(VLOOKUP(_xlfn.CONCAT("T",N$1,"V",$D400,"A",$A400),Vulnerabilities!$G:$G,1,FALSE),"")</x:f>
      </x:c>
      <x:c r="O400" s="20" t="str">
        <x:f>_xlfn.IFNA(VLOOKUP(_xlfn.CONCAT("T",O$1,"V",$D400,"A",$A400),Vulnerabilities!$G:$G,1,FALSE),"")</x:f>
      </x:c>
      <x:c r="P400" s="16" t="str">
        <x:f>_xlfn.IFNA(VLOOKUP(_xlfn.CONCAT("T",P$1,"V",$D400,"A",$A400),Vulnerabilities!$G:$G,1,FALSE),"")</x:f>
      </x:c>
    </x:row>
    <x:row r="401">
      <x:c r="A401" s="1">
        <x:f t="shared" si="6"/>
        <x:v>100</x:v>
      </x:c>
      <x:c r="B401" t="str">
        <x:f>IF(VLOOKUP($A401,Assets!$A:$C,2,FALSE)=0,"",VLOOKUP($A401,Assets!$A:$C,2,FALSE))</x:f>
      </x:c>
      <x:c r="C401" t="str">
        <x:f>IF(VLOOKUP($A401,Assets!$A:$C,3,FALSE)=0,"",VLOOKUP($A401,Assets!$A:$C,3,FALSE))</x:f>
      </x:c>
      <x:c r="D401" s="16">
        <x:v>3</x:v>
      </x:c>
      <x:c r="E401" s="20" t="str">
        <x:f>_xlfn.IFNA(VLOOKUP(_xlfn.CONCAT("T",E$1,"V",$D401,"A",$A401),Vulnerabilities!$G:$G,1,FALSE),"")</x:f>
      </x:c>
      <x:c r="F401" s="20" t="str">
        <x:f>_xlfn.IFNA(VLOOKUP(_xlfn.CONCAT("T",F$1,"V",$D401,"A",$A401),Vulnerabilities!$G:$G,1,FALSE),"")</x:f>
      </x:c>
      <x:c r="G401" s="20" t="str">
        <x:f>_xlfn.IFNA(VLOOKUP(_xlfn.CONCAT("T",G$1,"V",$D401,"A",$A401),Vulnerabilities!$G:$G,1,FALSE),"")</x:f>
      </x:c>
      <x:c r="H401" s="20" t="str">
        <x:f>_xlfn.IFNA(VLOOKUP(_xlfn.CONCAT("T",H$1,"V",$D401,"A",$A401),Vulnerabilities!$G:$G,1,FALSE),"")</x:f>
      </x:c>
      <x:c r="I401" s="20" t="str">
        <x:f>_xlfn.IFNA(VLOOKUP(_xlfn.CONCAT("T",I$1,"V",$D401,"A",$A401),Vulnerabilities!$G:$G,1,FALSE),"")</x:f>
      </x:c>
      <x:c r="J401" s="20" t="str">
        <x:f>_xlfn.IFNA(VLOOKUP(_xlfn.CONCAT("T",J$1,"V",$D401,"A",$A401),Vulnerabilities!$G:$G,1,FALSE),"")</x:f>
      </x:c>
      <x:c r="K401" s="20" t="str">
        <x:f>_xlfn.IFNA(VLOOKUP(_xlfn.CONCAT("T",K$1,"V",$D401,"A",$A401),Vulnerabilities!$G:$G,1,FALSE),"")</x:f>
      </x:c>
      <x:c r="L401" s="20" t="str">
        <x:f>_xlfn.IFNA(VLOOKUP(_xlfn.CONCAT("T",L$1,"V",$D401,"A",$A401),Vulnerabilities!$G:$G,1,FALSE),"")</x:f>
      </x:c>
      <x:c r="M401" s="20" t="str">
        <x:f>_xlfn.IFNA(VLOOKUP(_xlfn.CONCAT("T",M$1,"V",$D401,"A",$A401),Vulnerabilities!$G:$G,1,FALSE),"")</x:f>
      </x:c>
      <x:c r="N401" s="20" t="str">
        <x:f>_xlfn.IFNA(VLOOKUP(_xlfn.CONCAT("T",N$1,"V",$D401,"A",$A401),Vulnerabilities!$G:$G,1,FALSE),"")</x:f>
      </x:c>
      <x:c r="O401" s="20" t="str">
        <x:f>_xlfn.IFNA(VLOOKUP(_xlfn.CONCAT("T",O$1,"V",$D401,"A",$A401),Vulnerabilities!$G:$G,1,FALSE),"")</x:f>
      </x:c>
      <x:c r="P401" s="16" t="str">
        <x:f>_xlfn.IFNA(VLOOKUP(_xlfn.CONCAT("T",P$1,"V",$D401,"A",$A401),Vulnerabilities!$G:$G,1,FALSE),"")</x:f>
      </x:c>
    </x:row>
    <x:row r="402">
      <x:c r="A402" s="11">
        <x:f t="shared" si="6"/>
        <x:v>100</x:v>
      </x:c>
      <x:c r="B402" s="12" t="str">
        <x:f>IF(VLOOKUP($A402,Assets!$A:$C,2,FALSE)=0,"",VLOOKUP($A402,Assets!$A:$C,2,FALSE))</x:f>
      </x:c>
      <x:c r="C402" s="12" t="str">
        <x:f>IF(VLOOKUP($A402,Assets!$A:$C,3,FALSE)=0,"",VLOOKUP($A402,Assets!$A:$C,3,FALSE))</x:f>
      </x:c>
      <x:c r="D402" s="17">
        <x:v>4</x:v>
      </x:c>
      <x:c r="E402" s="21" t="str">
        <x:f>_xlfn.IFNA(VLOOKUP(_xlfn.CONCAT("T",E$1,"V",$D402,"A",$A402),Vulnerabilities!$G:$G,1,FALSE),"")</x:f>
      </x:c>
      <x:c r="F402" s="21" t="str">
        <x:f>_xlfn.IFNA(VLOOKUP(_xlfn.CONCAT("T",F$1,"V",$D402,"A",$A402),Vulnerabilities!$G:$G,1,FALSE),"")</x:f>
      </x:c>
      <x:c r="G402" s="21" t="str">
        <x:f>_xlfn.IFNA(VLOOKUP(_xlfn.CONCAT("T",G$1,"V",$D402,"A",$A402),Vulnerabilities!$G:$G,1,FALSE),"")</x:f>
      </x:c>
      <x:c r="H402" s="21" t="str">
        <x:f>_xlfn.IFNA(VLOOKUP(_xlfn.CONCAT("T",H$1,"V",$D402,"A",$A402),Vulnerabilities!$G:$G,1,FALSE),"")</x:f>
      </x:c>
      <x:c r="I402" s="21" t="str">
        <x:f>_xlfn.IFNA(VLOOKUP(_xlfn.CONCAT("T",I$1,"V",$D402,"A",$A402),Vulnerabilities!$G:$G,1,FALSE),"")</x:f>
      </x:c>
      <x:c r="J402" s="21" t="str">
        <x:f>_xlfn.IFNA(VLOOKUP(_xlfn.CONCAT("T",J$1,"V",$D402,"A",$A402),Vulnerabilities!$G:$G,1,FALSE),"")</x:f>
      </x:c>
      <x:c r="K402" s="21" t="str">
        <x:f>_xlfn.IFNA(VLOOKUP(_xlfn.CONCAT("T",K$1,"V",$D402,"A",$A402),Vulnerabilities!$G:$G,1,FALSE),"")</x:f>
      </x:c>
      <x:c r="L402" s="21" t="str">
        <x:f>_xlfn.IFNA(VLOOKUP(_xlfn.CONCAT("T",L$1,"V",$D402,"A",$A402),Vulnerabilities!$G:$G,1,FALSE),"")</x:f>
      </x:c>
      <x:c r="M402" s="21" t="str">
        <x:f>_xlfn.IFNA(VLOOKUP(_xlfn.CONCAT("T",M$1,"V",$D402,"A",$A402),Vulnerabilities!$G:$G,1,FALSE),"")</x:f>
      </x:c>
      <x:c r="N402" s="21" t="str">
        <x:f>_xlfn.IFNA(VLOOKUP(_xlfn.CONCAT("T",N$1,"V",$D402,"A",$A402),Vulnerabilities!$G:$G,1,FALSE),"")</x:f>
      </x:c>
      <x:c r="O402" s="21" t="str">
        <x:f>_xlfn.IFNA(VLOOKUP(_xlfn.CONCAT("T",O$1,"V",$D402,"A",$A402),Vulnerabilities!$G:$G,1,FALSE),"")</x:f>
      </x:c>
      <x:c r="P402" s="17" t="str">
        <x:f>_xlfn.IFNA(VLOOKUP(_xlfn.CONCAT("T",P$1,"V",$D402,"A",$A402),Vulnerabilities!$G:$G,1,FALSE),"")</x:f>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t="s">
        <x:v>17</x:v>
      </x:c>
    </x:row>
    <x:row r="2">
      <x:c r="A2" t="s">
        <x:v>22</x:v>
      </x:c>
    </x:row>
    <x:row r="3">
      <x:c r="A3" t="s">
        <x:v>23</x:v>
      </x:c>
    </x:row>
    <x:row r="4">
      <x:c r="A4" t="s">
        <x:v>24</x:v>
      </x:c>
    </x:row>
    <x:row r="5">
      <x:c r="A5" t="s">
        <x:v>25</x:v>
      </x:c>
    </x:row>
    <x:row r="6">
      <x:c r="A6" t="s">
        <x:v>26</x:v>
      </x:c>
    </x:row>
    <x:row r="7">
      <x:c r="A7" t="s">
        <x:v>27</x:v>
      </x:c>
    </x:row>
  </x:sheetData>
  <x:pageMargins left="0.7" right="0.7" top="0.75" bottom="0.75" header="0.3" footer="0.3"/>
</x:worksheet>
</file>

<file path=xl/worksheets/sheet7.xml><?xml version="1.0" encoding="utf-8"?>
<x:worksheet xmlns:x="http://schemas.openxmlformats.org/spreadsheetml/2006/main">
  <x:sheetFormatPr defaultRowHeight="15"/>
  <x:cols>
    <x:col min="1" max="2" width="10.7109375" style="1" customWidth="1"/>
    <x:col min="3" max="3" width="20.7109375" style="1" customWidth="1"/>
    <x:col min="4" max="4" width="10.7109375" style="1" customWidth="1"/>
  </x:cols>
  <x:sheetData>
    <x:row r="1">
      <x:c r="A1" s="1" t="s">
        <x:v>12</x:v>
      </x:c>
      <x:c r="B1" s="1" t="s">
        <x:v>13</x:v>
      </x:c>
      <x:c r="C1" s="1" t="s">
        <x:v>28</x:v>
      </x:c>
      <x:c r="D1" s="1" t="s">
        <x:v>14</x:v>
      </x:c>
    </x:row>
    <x:row r="2">
      <x:c r="A2" s="1" t="s">
        <x:v>29</x:v>
      </x:c>
      <x:c r="B2" s="1" t="s">
        <x:v>30</x:v>
      </x:c>
      <x:c r="C2" s="1" t="str">
        <x:f>_xlfn.CONCAT(A2,"|",B2)</x:f>
        <x:v>Very High|Very Low</x:v>
      </x:c>
      <x:c r="D2" s="1" t="s">
        <x:v>30</x:v>
      </x:c>
    </x:row>
    <x:row r="3">
      <x:c r="A3" s="1" t="s">
        <x:v>31</x:v>
      </x:c>
      <x:c r="B3" s="1" t="s">
        <x:v>30</x:v>
      </x:c>
      <x:c r="C3" s="1" t="str">
        <x:f t="shared" ref="C3:C26" si="0">_xlfn.CONCAT(A3,"|",B3)</x:f>
        <x:v>High|Very Low</x:v>
      </x:c>
      <x:c r="D3" s="1" t="s">
        <x:v>30</x:v>
      </x:c>
    </x:row>
    <x:row r="4">
      <x:c r="A4" s="1" t="s">
        <x:v>32</x:v>
      </x:c>
      <x:c r="B4" s="1" t="s">
        <x:v>30</x:v>
      </x:c>
      <x:c r="C4" s="1" t="str">
        <x:f t="shared" si="0"/>
        <x:v>Moderate|Very Low</x:v>
      </x:c>
      <x:c r="D4" s="1" t="s">
        <x:v>30</x:v>
      </x:c>
    </x:row>
    <x:row r="5">
      <x:c r="A5" s="1" t="s">
        <x:v>33</x:v>
      </x:c>
      <x:c r="B5" s="1" t="s">
        <x:v>30</x:v>
      </x:c>
      <x:c r="C5" s="1" t="str">
        <x:f t="shared" si="0"/>
        <x:v>Low|Very Low</x:v>
      </x:c>
      <x:c r="D5" s="1" t="s">
        <x:v>30</x:v>
      </x:c>
    </x:row>
    <x:row r="6">
      <x:c r="A6" s="1" t="s">
        <x:v>30</x:v>
      </x:c>
      <x:c r="B6" s="1" t="s">
        <x:v>30</x:v>
      </x:c>
      <x:c r="C6" s="1" t="str">
        <x:f t="shared" si="0"/>
        <x:v>Very Low|Very Low</x:v>
      </x:c>
      <x:c r="D6" s="1" t="s">
        <x:v>30</x:v>
      </x:c>
    </x:row>
    <x:row r="7">
      <x:c r="A7" s="1" t="s">
        <x:v>29</x:v>
      </x:c>
      <x:c r="B7" s="1" t="s">
        <x:v>33</x:v>
      </x:c>
      <x:c r="C7" s="1" t="str">
        <x:f t="shared" si="0"/>
        <x:v>Very High|Low</x:v>
      </x:c>
      <x:c r="D7" s="1" t="s">
        <x:v>33</x:v>
      </x:c>
    </x:row>
    <x:row r="8">
      <x:c r="A8" s="1" t="s">
        <x:v>31</x:v>
      </x:c>
      <x:c r="B8" s="1" t="s">
        <x:v>33</x:v>
      </x:c>
      <x:c r="C8" s="1" t="str">
        <x:f t="shared" si="0"/>
        <x:v>High|Low</x:v>
      </x:c>
      <x:c r="D8" s="1" t="s">
        <x:v>33</x:v>
      </x:c>
    </x:row>
    <x:row r="9">
      <x:c r="A9" s="1" t="s">
        <x:v>32</x:v>
      </x:c>
      <x:c r="B9" s="1" t="s">
        <x:v>33</x:v>
      </x:c>
      <x:c r="C9" s="1" t="str">
        <x:f t="shared" si="0"/>
        <x:v>Moderate|Low</x:v>
      </x:c>
      <x:c r="D9" s="1" t="s">
        <x:v>33</x:v>
      </x:c>
    </x:row>
    <x:row r="10">
      <x:c r="A10" s="1" t="s">
        <x:v>33</x:v>
      </x:c>
      <x:c r="B10" s="1" t="s">
        <x:v>33</x:v>
      </x:c>
      <x:c r="C10" s="1" t="str">
        <x:f t="shared" si="0"/>
        <x:v>Low|Low</x:v>
      </x:c>
      <x:c r="D10" s="1" t="s">
        <x:v>33</x:v>
      </x:c>
    </x:row>
    <x:row r="11">
      <x:c r="A11" s="1" t="s">
        <x:v>30</x:v>
      </x:c>
      <x:c r="B11" s="1" t="s">
        <x:v>33</x:v>
      </x:c>
      <x:c r="C11" s="1" t="str">
        <x:f t="shared" si="0"/>
        <x:v>Very Low|Low</x:v>
      </x:c>
      <x:c r="D11" s="1" t="s">
        <x:v>30</x:v>
      </x:c>
    </x:row>
    <x:row r="12">
      <x:c r="A12" s="1" t="s">
        <x:v>29</x:v>
      </x:c>
      <x:c r="B12" s="1" t="s">
        <x:v>32</x:v>
      </x:c>
      <x:c r="C12" s="1" t="str">
        <x:f t="shared" si="0"/>
        <x:v>Very High|Moderate</x:v>
      </x:c>
      <x:c r="D12" s="1" t="s">
        <x:v>32</x:v>
      </x:c>
    </x:row>
    <x:row r="13">
      <x:c r="A13" s="1" t="s">
        <x:v>31</x:v>
      </x:c>
      <x:c r="B13" s="1" t="s">
        <x:v>32</x:v>
      </x:c>
      <x:c r="C13" s="1" t="str">
        <x:f t="shared" si="0"/>
        <x:v>High|Moderate</x:v>
      </x:c>
      <x:c r="D13" s="1" t="s">
        <x:v>32</x:v>
      </x:c>
    </x:row>
    <x:row r="14">
      <x:c r="A14" s="1" t="s">
        <x:v>32</x:v>
      </x:c>
      <x:c r="B14" s="1" t="s">
        <x:v>32</x:v>
      </x:c>
      <x:c r="C14" s="1" t="str">
        <x:f t="shared" si="0"/>
        <x:v>Moderate|Moderate</x:v>
      </x:c>
      <x:c r="D14" s="1" t="s">
        <x:v>32</x:v>
      </x:c>
    </x:row>
    <x:row r="15">
      <x:c r="A15" s="1" t="s">
        <x:v>33</x:v>
      </x:c>
      <x:c r="B15" s="1" t="s">
        <x:v>32</x:v>
      </x:c>
      <x:c r="C15" s="1" t="str">
        <x:f t="shared" si="0"/>
        <x:v>Low|Moderate</x:v>
      </x:c>
      <x:c r="D15" s="1" t="s">
        <x:v>33</x:v>
      </x:c>
    </x:row>
    <x:row r="16">
      <x:c r="A16" s="1" t="s">
        <x:v>30</x:v>
      </x:c>
      <x:c r="B16" s="1" t="s">
        <x:v>32</x:v>
      </x:c>
      <x:c r="C16" s="1" t="str">
        <x:f t="shared" si="0"/>
        <x:v>Very Low|Moderate</x:v>
      </x:c>
      <x:c r="D16" s="1" t="s">
        <x:v>30</x:v>
      </x:c>
    </x:row>
    <x:row r="17">
      <x:c r="A17" s="1" t="s">
        <x:v>29</x:v>
      </x:c>
      <x:c r="B17" s="1" t="s">
        <x:v>31</x:v>
      </x:c>
      <x:c r="C17" s="1" t="str">
        <x:f t="shared" si="0"/>
        <x:v>Very High|High</x:v>
      </x:c>
      <x:c r="D17" s="1" t="s">
        <x:v>31</x:v>
      </x:c>
    </x:row>
    <x:row r="18">
      <x:c r="A18" s="1" t="s">
        <x:v>31</x:v>
      </x:c>
      <x:c r="B18" s="1" t="s">
        <x:v>31</x:v>
      </x:c>
      <x:c r="C18" s="1" t="str">
        <x:f t="shared" si="0"/>
        <x:v>High|High</x:v>
      </x:c>
      <x:c r="D18" s="1" t="s">
        <x:v>31</x:v>
      </x:c>
    </x:row>
    <x:row r="19">
      <x:c r="A19" s="1" t="s">
        <x:v>32</x:v>
      </x:c>
      <x:c r="B19" s="1" t="s">
        <x:v>31</x:v>
      </x:c>
      <x:c r="C19" s="1" t="str">
        <x:f t="shared" si="0"/>
        <x:v>Moderate|High</x:v>
      </x:c>
      <x:c r="D19" s="1" t="s">
        <x:v>32</x:v>
      </x:c>
    </x:row>
    <x:row r="20">
      <x:c r="A20" s="1" t="s">
        <x:v>33</x:v>
      </x:c>
      <x:c r="B20" s="1" t="s">
        <x:v>31</x:v>
      </x:c>
      <x:c r="C20" s="1" t="str">
        <x:f t="shared" si="0"/>
        <x:v>Low|High</x:v>
      </x:c>
      <x:c r="D20" s="1" t="s">
        <x:v>33</x:v>
      </x:c>
    </x:row>
    <x:row r="21">
      <x:c r="A21" s="1" t="s">
        <x:v>30</x:v>
      </x:c>
      <x:c r="B21" s="1" t="s">
        <x:v>31</x:v>
      </x:c>
      <x:c r="C21" s="1" t="str">
        <x:f t="shared" si="0"/>
        <x:v>Very Low|High</x:v>
      </x:c>
      <x:c r="D21" s="1" t="s">
        <x:v>33</x:v>
      </x:c>
    </x:row>
    <x:row r="22">
      <x:c r="A22" s="1" t="s">
        <x:v>29</x:v>
      </x:c>
      <x:c r="B22" s="1" t="s">
        <x:v>29</x:v>
      </x:c>
      <x:c r="C22" s="1" t="str">
        <x:f t="shared" si="0"/>
        <x:v>Very High|Very High</x:v>
      </x:c>
      <x:c r="D22" s="1" t="s">
        <x:v>29</x:v>
      </x:c>
    </x:row>
    <x:row r="23">
      <x:c r="A23" s="1" t="s">
        <x:v>31</x:v>
      </x:c>
      <x:c r="B23" s="1" t="s">
        <x:v>29</x:v>
      </x:c>
      <x:c r="C23" s="1" t="str">
        <x:f t="shared" si="0"/>
        <x:v>High|Very High</x:v>
      </x:c>
      <x:c r="D23" s="1" t="s">
        <x:v>29</x:v>
      </x:c>
    </x:row>
    <x:row r="24">
      <x:c r="A24" s="1" t="s">
        <x:v>32</x:v>
      </x:c>
      <x:c r="B24" s="1" t="s">
        <x:v>29</x:v>
      </x:c>
      <x:c r="C24" s="1" t="str">
        <x:f t="shared" si="0"/>
        <x:v>Moderate|Very High</x:v>
      </x:c>
      <x:c r="D24" s="1" t="s">
        <x:v>31</x:v>
      </x:c>
    </x:row>
    <x:row r="25">
      <x:c r="A25" s="1" t="s">
        <x:v>33</x:v>
      </x:c>
      <x:c r="B25" s="1" t="s">
        <x:v>29</x:v>
      </x:c>
      <x:c r="C25" s="1" t="str">
        <x:f t="shared" si="0"/>
        <x:v>Low|Very High</x:v>
      </x:c>
      <x:c r="D25" s="1" t="s">
        <x:v>32</x:v>
      </x:c>
    </x:row>
    <x:row r="26">
      <x:c r="A26" s="1" t="s">
        <x:v>30</x:v>
      </x:c>
      <x:c r="B26" s="1" t="s">
        <x:v>29</x:v>
      </x:c>
      <x:c r="C26" s="1" t="str">
        <x:f t="shared" si="0"/>
        <x:v>Very Low|Very High</x:v>
      </x:c>
      <x:c r="D26" s="1" t="s">
        <x:v>33</x:v>
      </x:c>
    </x:row>
  </x:sheetData>
  <x:pageMargins left="0.7" right="0.7" top="0.75" bottom="0.75" header="0.3" footer="0.3"/>
</x:worksheet>
</file>

<file path=xl/worksheets/sheet8.xml><?xml version="1.0" encoding="utf-8"?>
<x:worksheet xmlns:x="http://schemas.openxmlformats.org/spreadsheetml/2006/main">
  <x:sheetFormatPr defaultRowHeight="15"/>
  <x:cols>
    <x:col min="2" max="2" width="35.7109375" customWidth="1"/>
    <x:col min="3" max="3" width="88.5703125" customWidth="1"/>
  </x:cols>
  <x:sheetData>
    <x:row r="1">
      <x:c r="A1" t="s">
        <x:v>7</x:v>
      </x:c>
      <x:c r="B1" t="s">
        <x:v>8</x:v>
      </x:c>
      <x:c r="C1" t="s">
        <x:v>34</x:v>
      </x:c>
    </x:row>
    <x:row r="2">
      <x:c r="A2">
        <x:v>1</x:v>
      </x:c>
      <x:c r="B2" t="s">
        <x:v>35</x:v>
      </x:c>
      <x:c r="C2" t="s">
        <x:v>36</x:v>
      </x:c>
    </x:row>
    <x:row r="3">
      <x:c r="A3">
        <x:v>2</x:v>
      </x:c>
      <x:c r="B3" t="s">
        <x:v>37</x:v>
      </x:c>
      <x:c r="C3" t="s">
        <x:v>38</x:v>
      </x:c>
    </x:row>
    <x:row r="4">
      <x:c r="A4">
        <x:v>3</x:v>
      </x:c>
      <x:c r="B4" t="s">
        <x:v>39</x:v>
      </x:c>
      <x:c r="C4" t="s">
        <x:v>40</x:v>
      </x:c>
    </x:row>
    <x:row r="5">
      <x:c r="A5">
        <x:v>4</x:v>
      </x:c>
      <x:c r="B5" t="s">
        <x:v>41</x:v>
      </x:c>
      <x:c r="C5" t="s">
        <x:v>42</x:v>
      </x:c>
    </x:row>
    <x:row r="6">
      <x:c r="A6">
        <x:v>5</x:v>
      </x:c>
      <x:c r="B6" t="s">
        <x:v>43</x:v>
      </x:c>
      <x:c r="C6" t="s">
        <x:v>44</x:v>
      </x:c>
    </x:row>
    <x:row r="7">
      <x:c r="A7">
        <x:v>6</x:v>
      </x:c>
      <x:c r="B7" t="s">
        <x:v>45</x:v>
      </x:c>
      <x:c r="C7" t="s">
        <x:v>46</x:v>
      </x:c>
    </x:row>
    <x:row r="8">
      <x:c r="A8">
        <x:v>7</x:v>
      </x:c>
      <x:c r="B8" t="s">
        <x:v>47</x:v>
      </x:c>
      <x:c r="C8" t="s">
        <x:v>48</x:v>
      </x:c>
    </x:row>
    <x:row r="9">
      <x:c r="A9">
        <x:v>8</x:v>
      </x:c>
      <x:c r="B9" t="s">
        <x:v>49</x:v>
      </x:c>
      <x:c r="C9" t="s">
        <x:v>50</x:v>
      </x:c>
    </x:row>
    <x:row r="10">
      <x:c r="A10">
        <x:v>9</x:v>
      </x:c>
      <x:c r="B10" t="s">
        <x:v>51</x:v>
      </x:c>
      <x:c r="C10" t="s">
        <x:v>52</x:v>
      </x:c>
    </x:row>
    <x:row r="11">
      <x:c r="A11">
        <x:v>10</x:v>
      </x:c>
      <x:c r="B11" t="s">
        <x:v>53</x:v>
      </x:c>
      <x:c r="C11" t="s">
        <x:v>54</x:v>
      </x:c>
    </x:row>
    <x:row r="12">
      <x:c r="A12">
        <x:v>11</x:v>
      </x:c>
      <x:c r="B12" t="s">
        <x:v>55</x:v>
      </x:c>
      <x:c r="C12" t="s">
        <x:v>56</x:v>
      </x:c>
    </x:row>
    <x:row r="13">
      <x:c r="A13">
        <x:v>12</x:v>
      </x:c>
      <x:c r="B13" t="s">
        <x:v>57</x:v>
      </x:c>
      <x:c r="C13" t="s">
        <x:v>58</x:v>
      </x:c>
    </x:row>
  </x:sheetData>
  <x:pageMargins left="0.7" right="0.7" top="0.75" bottom="0.75" header="0.3" footer="0.3"/>
</x:worksheet>
</file>